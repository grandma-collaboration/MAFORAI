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3-2024" sheetId="2" r:id="rId6"/>
    <sheet state="visible" name="2022" sheetId="3" r:id="rId7"/>
    <sheet state="visible" name="Progen-Histograms" sheetId="4" r:id="rId8"/>
    <sheet state="visible" name="Progen-table" sheetId="5" r:id="rId9"/>
    <sheet state="visible" name="Progen-table-2" sheetId="6" r:id="rId10"/>
  </sheets>
  <definedNames/>
  <calcPr/>
</workbook>
</file>

<file path=xl/sharedStrings.xml><?xml version="1.0" encoding="utf-8"?>
<sst xmlns="http://schemas.openxmlformats.org/spreadsheetml/2006/main" count="2193" uniqueCount="902">
  <si>
    <t xml:space="preserve">GRB name </t>
  </si>
  <si>
    <t>skyportal link</t>
  </si>
  <si>
    <t xml:space="preserve">owncloud link </t>
  </si>
  <si>
    <t>GRB Time</t>
  </si>
  <si>
    <t>Prompt emission detection instrument</t>
  </si>
  <si>
    <t xml:space="preserve">optical afterglow detection instruments </t>
  </si>
  <si>
    <t>All GCNs associated to this GRB</t>
  </si>
  <si>
    <t>T_90 in X energy band</t>
  </si>
  <si>
    <t>Hard/soft prompt emission</t>
  </si>
  <si>
    <t>prompt brightness peak or flux peak or fluence</t>
  </si>
  <si>
    <t>optical brightness (yes/no/IDK from GCN)`</t>
  </si>
  <si>
    <t>redshift</t>
  </si>
  <si>
    <t>RA (deg)</t>
  </si>
  <si>
    <t>Dec (deg)</t>
  </si>
  <si>
    <t>GRANDMA images (number)</t>
  </si>
  <si>
    <t xml:space="preserve">GRANDMA telescopes that observed </t>
  </si>
  <si>
    <t>GRANDMA detection or UL?</t>
  </si>
  <si>
    <t>GRANDMA covered time range</t>
  </si>
  <si>
    <t>High energy LAT counterpart ?</t>
  </si>
  <si>
    <t>X-ray counterpart ?</t>
  </si>
  <si>
    <t>UVOT counterpart ?</t>
  </si>
  <si>
    <t>radio counterpart ?</t>
  </si>
  <si>
    <t xml:space="preserve">Are there any publication related to this GRB ? </t>
  </si>
  <si>
    <t xml:space="preserve">Vizier data </t>
  </si>
  <si>
    <t>Mag/UL</t>
  </si>
  <si>
    <t>Vizier link</t>
  </si>
  <si>
    <t xml:space="preserve">Which instruments observed the most from Vizier </t>
  </si>
  <si>
    <t>Notes</t>
  </si>
  <si>
    <t xml:space="preserve">any other properties that we should be aware of </t>
  </si>
  <si>
    <t>GRB250114A</t>
  </si>
  <si>
    <t>https://skyportal-icare.ijclab.in2p3.fr/source/GRB250114</t>
  </si>
  <si>
    <t>25-01-14 07:33:19</t>
  </si>
  <si>
    <t>Swift</t>
  </si>
  <si>
    <t>GRANDMA, LCO, MASTER, LCOGT, TRT, Swift UVOT, VLT</t>
  </si>
  <si>
    <t>https://gcn.nasa.gov/circulars/events/grb-250114a?view=group&amp;query=250114A</t>
  </si>
  <si>
    <t>293 sec [15,350 keV]</t>
  </si>
  <si>
    <t>spectral index 1.85</t>
  </si>
  <si>
    <r>
      <rPr>
        <rFont val="Arial"/>
        <b/>
        <color rgb="FF1B1B1B"/>
      </rPr>
      <t xml:space="preserve">Epeak of 50.9 +- 6.3 keV </t>
    </r>
    <r>
      <rPr>
        <rFont val="Arial"/>
        <color rgb="FF1B1B1B"/>
      </rPr>
      <t xml:space="preserve">- 1-sec peak flux in 15-150 keV: 1.5 +- 0.4 ph/cm2/sec - ph index 0.39 +- 0.62 - </t>
    </r>
    <r>
      <rPr>
        <rFont val="Arial"/>
        <b/>
        <color rgb="FF1B1B1B"/>
      </rPr>
      <t>fluence 3.6 +- 0.3 x 10^-06 erg/cm2 - count rate peak ~875 counts/sec (15-350 keV)</t>
    </r>
  </si>
  <si>
    <t>peak around 15-16 according to Master</t>
  </si>
  <si>
    <t>KNC, TRT, TAROT, and AL?</t>
  </si>
  <si>
    <t>detection</t>
  </si>
  <si>
    <t>T0 and T0+3 days</t>
  </si>
  <si>
    <t>No</t>
  </si>
  <si>
    <t>XRT</t>
  </si>
  <si>
    <t>yes</t>
  </si>
  <si>
    <t>ATCA possible</t>
  </si>
  <si>
    <t>Yes (galaxy)</t>
  </si>
  <si>
    <t>https://vizier.cds.unistra.fr/viz-bin/VizieR-4?-c=166.5981013835738-15.1336452871456&amp;-c.rs=5&amp;-out.add=_r&amp;-sort=_r&amp;-out.max=$4</t>
  </si>
  <si>
    <t>Coordinate points to SDSS J110623.53-150801.1 galaxy. VizieR link is of this galaxy.</t>
  </si>
  <si>
    <t>GRB250129A</t>
  </si>
  <si>
    <t>Yes, single paper</t>
  </si>
  <si>
    <t>GRB250215A</t>
  </si>
  <si>
    <t>https://skyportal-icare.ijclab.in2p3.fr/source/GRB_250215A</t>
  </si>
  <si>
    <t>25-02-15 02:31:54</t>
  </si>
  <si>
    <t>Fermi, INTEGRAL, SVOM GRM</t>
  </si>
  <si>
    <t xml:space="preserve">VT, NOT, GEMINI, LCO, </t>
  </si>
  <si>
    <t>https://gcn.nasa.gov/circulars/events/ep250215a?view=group&amp;query=250215A</t>
  </si>
  <si>
    <t>29.8 +7.8/-8.0 in the [15-5000] keV -  13.4 s (50-300) keV</t>
  </si>
  <si>
    <t xml:space="preserve">power lax index -1.39 (SVOM) - </t>
  </si>
  <si>
    <r>
      <rPr>
        <rFont val="Arial"/>
        <b/>
        <color rgb="FF1B1B1B"/>
      </rPr>
      <t>Epeak 134 +/- 36 keV (SVOM) - Epeak = 117 +/- 9 keV (Fermi) - (INTEGRAL) for E&gt;80 keV peak count rate 68,000 cts/s</t>
    </r>
    <r>
      <rPr>
        <rFont val="Arial"/>
        <color rgb="FF1B1B1B"/>
      </rPr>
      <t xml:space="preserve"> - </t>
    </r>
    <r>
      <rPr>
        <rFont val="Arial"/>
        <b/>
        <color rgb="FF1B1B1B"/>
      </rPr>
      <t>SVOM fluence in (10-1000 keV)  (6.02 +/- 0.47)E-06 erg/cm^2.</t>
    </r>
  </si>
  <si>
    <t>detection around 21.5</t>
  </si>
  <si>
    <t>RA = 157.6</t>
  </si>
  <si>
    <t>Dec = -34.5</t>
  </si>
  <si>
    <t>OPD</t>
  </si>
  <si>
    <t>UL</t>
  </si>
  <si>
    <t>T0 + 1</t>
  </si>
  <si>
    <t>EP, XRT</t>
  </si>
  <si>
    <t>Nothing available on this position</t>
  </si>
  <si>
    <t>GRB250219A</t>
  </si>
  <si>
    <t>https://skyportal-icare.ijclab.in2p3.fr/source/GRB250219A</t>
  </si>
  <si>
    <t>25-02-19 15:50:46</t>
  </si>
  <si>
    <t>ECLAIRs/SVOM</t>
  </si>
  <si>
    <t>NOT, COLIBRI, VT,</t>
  </si>
  <si>
    <t>https://gcn.nasa.gov/circulars/events/grb-250219a?view=group&amp;query=250219a</t>
  </si>
  <si>
    <t>multi peak 10 s then 50 s in the [5-8 keV]</t>
  </si>
  <si>
    <t>-</t>
  </si>
  <si>
    <t xml:space="preserve">faint - detection around 22 </t>
  </si>
  <si>
    <t>- (host candidate)</t>
  </si>
  <si>
    <t>KNC, OPD</t>
  </si>
  <si>
    <t>T0, T0+1</t>
  </si>
  <si>
    <t>EP</t>
  </si>
  <si>
    <t>https://vizier.cds.unistra.fr/viz-bin/VizieR-4?-c=173.2654%2b22.6642&amp;-c.rs=5&amp;-out.add=_r&amp;-sort=_r&amp;-out.max=$4</t>
  </si>
  <si>
    <t>The coordinates points to LEDA 1673976 galaxy. Vizier link is of this galaxy.</t>
  </si>
  <si>
    <t>GRB250221A</t>
  </si>
  <si>
    <t>https://skyportal-icare.ijclab.in2p3.fr/source/GRB250221A</t>
  </si>
  <si>
    <t>25-02-21 03:34:37</t>
  </si>
  <si>
    <t>Swift UVOT, COLIBRI, Mephisto, GRANDMA, TNOT, Assy, Mondy, NOT, REM</t>
  </si>
  <si>
    <t>https://gcn.nasa.gov/circulars/events/grb-250221a?view=group&amp;query=250221a</t>
  </si>
  <si>
    <t>BAT : 1.80 s [15-350] keV</t>
  </si>
  <si>
    <t>photon index 1.43</t>
  </si>
  <si>
    <r>
      <rPr>
        <rFont val="Arial"/>
        <b/>
        <color theme="1"/>
      </rPr>
      <t>fluence 3.9 +- 0.6 x 10^-07 erg/cm2</t>
    </r>
    <r>
      <rPr>
        <rFont val="Arial"/>
        <color theme="1"/>
      </rPr>
      <t xml:space="preserve"> - 1-sec peak photon flux in the 15-150 keV band
is 2.9 +- 0.5 ph/cm2/sec</t>
    </r>
  </si>
  <si>
    <t>bright - optical detection around 17</t>
  </si>
  <si>
    <t>KNC, TAROT/TCA, FRAM, OPD, TRT</t>
  </si>
  <si>
    <t>T0 to T0 + 5</t>
  </si>
  <si>
    <t>VLA, ATCA</t>
  </si>
  <si>
    <r>
      <rPr/>
      <t xml:space="preserve">Yes </t>
    </r>
    <r>
      <rPr>
        <color rgb="FF1155CC"/>
        <u/>
      </rPr>
      <t>https://arxiv.org/abs/2510.19132</t>
    </r>
  </si>
  <si>
    <t>Nothing available on this position.</t>
  </si>
  <si>
    <t>GRB 250226A</t>
  </si>
  <si>
    <t>GRB250317B</t>
  </si>
  <si>
    <t>https://skyportal-icare.ijclab.in2p3.fr/source/GRB250317B</t>
  </si>
  <si>
    <t>25-03-19 06:25:36</t>
  </si>
  <si>
    <t>SVOM</t>
  </si>
  <si>
    <t>COLIBRI, LCO, REM, OHP, NOT, Monday, GTC</t>
  </si>
  <si>
    <r>
      <rPr>
        <color rgb="FF1155CC"/>
        <u/>
      </rPr>
      <t>https://gcn.nasa.gov/circulars/events/grb-250317b?view=group&amp;query=250317b</t>
    </r>
    <r>
      <rPr>
        <color rgb="FF000000"/>
      </rPr>
      <t xml:space="preserve"> </t>
    </r>
    <r>
      <rPr>
        <color rgb="FF1155CC"/>
        <u/>
      </rPr>
      <t>https://gcn.nasa.gov/circulars/events/ep250317b?view=group&amp;query=250317b</t>
    </r>
  </si>
  <si>
    <t>145.67 [5-8] keV</t>
  </si>
  <si>
    <t>detection around 19 in r</t>
  </si>
  <si>
    <t>KNC, UBAI</t>
  </si>
  <si>
    <t>XRT, MXT</t>
  </si>
  <si>
    <t>Nothing available in this position</t>
  </si>
  <si>
    <t>GRB250321A</t>
  </si>
  <si>
    <t>https://skyportal-icare.ijclab.in2p3.fr/source/GRB250321A</t>
  </si>
  <si>
    <t>25-03-21 00:42:39</t>
  </si>
  <si>
    <t>Fermi, Swift</t>
  </si>
  <si>
    <t xml:space="preserve">LCO maybe but confusion with EP 250321A </t>
  </si>
  <si>
    <t>https://gcn.nasa.gov/circulars/events/grb-250321a?view=group&amp;query=250321a</t>
  </si>
  <si>
    <t>6.21 [15-350]</t>
  </si>
  <si>
    <t>photon index 1.61</t>
  </si>
  <si>
    <t>fluence of 6.7 x 10^-07 erg/cm2 - 1-sec peak photon flux measured from T-0.16 sec in the 15-150 keV band
is 3.2 +- 0.5 ph/cm2/sec - Fermi Epeak, is 101 +/- 12 keV - Swift peak count rate was ~2500 counts/sec (15-350 keV)</t>
  </si>
  <si>
    <t>TAROT/TCA</t>
  </si>
  <si>
    <t>We do know</t>
  </si>
  <si>
    <t>early TAROT</t>
  </si>
  <si>
    <t xml:space="preserve">Position points to some stars but not to a galaxy. </t>
  </si>
  <si>
    <t>GRB250322A</t>
  </si>
  <si>
    <t>https://skyportal-icare.ijclab.in2p3.fr/source/GRB250322A</t>
  </si>
  <si>
    <t>25-03-22 4:06:12 PM</t>
  </si>
  <si>
    <t>Swift, Konus</t>
  </si>
  <si>
    <t>https://gcn.nasa.gov/circulars/events/grb-250322a?view=group&amp;query=250322A</t>
  </si>
  <si>
    <t>0.62 [15-350]</t>
  </si>
  <si>
    <t>photon index 0.65</t>
  </si>
  <si>
    <t>fluence of 1.5 x 10^-07 erg/cm2 - 1-sec peak photon flux in the 15-150 keV band
is 1.4 +- 0.2 ph/cm2/sec</t>
  </si>
  <si>
    <t>0.42 (host galaxy candidate)</t>
  </si>
  <si>
    <t>TNOT</t>
  </si>
  <si>
    <t>T0</t>
  </si>
  <si>
    <t>coordinate points to some stars, but not to a galaxy.</t>
  </si>
  <si>
    <t>GRB250327B</t>
  </si>
  <si>
    <t>25-03-27 21:11:27</t>
  </si>
  <si>
    <t>ECLAIRs</t>
  </si>
  <si>
    <t>SAO, VT, GOTO, Mephisto, Las Cumbres, COLIBRI, Liverpool Telescope, LCOGT, CrAO, SAO RAS, LCO, MASTER, knc</t>
  </si>
  <si>
    <t>https://gcn.nasa.gov/circulars/events/grb-250327b?view=group&amp;query=250327B</t>
  </si>
  <si>
    <t>around 300 [8 - 120]</t>
  </si>
  <si>
    <t>bright R detection around 14 mag</t>
  </si>
  <si>
    <t>TRT, KNC</t>
  </si>
  <si>
    <t>T0 to T0 + 3 days</t>
  </si>
  <si>
    <t xml:space="preserve">XRT </t>
  </si>
  <si>
    <t>VLA</t>
  </si>
  <si>
    <t xml:space="preserve"> https://vizier.cds.unistra.fr/viz-bin/VizieR-4?-c=176.760765%2b29.817995&amp;-c.rs=5&amp;-out.add=_r&amp;-sort=_r&amp;-out.max=$4  </t>
  </si>
  <si>
    <t>There is a SDSS J114702.58+294904.7 -- Quasar close by. VizieR link is of the galaxy.</t>
  </si>
  <si>
    <t>GRB250403A</t>
  </si>
  <si>
    <t>https://skyportal-icare.ijclab.in2p3.fr/source/GRB-250403_151521</t>
  </si>
  <si>
    <t>25-04-03 15:15:22</t>
  </si>
  <si>
    <t>Fermi, ECLAIRs, GRM, AstroSat</t>
  </si>
  <si>
    <t>GOTO, GFT, Mephisto, GMG, LCO, JinShan, REM, VT, Swift UVOT, KAIT, Montarrenti, KAIT</t>
  </si>
  <si>
    <t>https://gcn.nasa.gov/circulars/events/grb-250403a?view=group&amp;query=250403A</t>
  </si>
  <si>
    <t>20.4 [8 - 120]</t>
  </si>
  <si>
    <t>extremely bright - Fermi 1-sec peak photon flux in the 10-1000 keV band
is 4.2 +/- 0.2 ph/s/cm^2 - fluence (10-1000 keV) in this time interval is
(6.7 +/- 0.2)E-6 erg/cm^2</t>
  </si>
  <si>
    <t>C detection around 17</t>
  </si>
  <si>
    <t>KNC</t>
  </si>
  <si>
    <t>GRB250617B</t>
  </si>
  <si>
    <t>https://skyportal-icare.ijclab.in2p3.fr/source/GRB-250617_210150</t>
  </si>
  <si>
    <t>25-06-17 21:01:50</t>
  </si>
  <si>
    <t>Swift, Fermi</t>
  </si>
  <si>
    <t>Swift UVOT, SAO RAS, oNDREJOB, NUTTElA-TAO, VT, NOT, COLIBRI, KNC, Mondy, Messina, Nickel, Assy AZT</t>
  </si>
  <si>
    <t>https://gcn.nasa.gov/circulars/events/grb-250617b?view=group&amp;query=250617B</t>
  </si>
  <si>
    <t>36.5 [15-350]</t>
  </si>
  <si>
    <t>photon index of 2.13</t>
  </si>
  <si>
    <t>Swift fluence of 2.3 +- 0.3 x 10^-6 - 15-150 keV - 1-sec peak photon flux in the 15-150 keV band
2.9 +- 0.8 ph/cm2/sec - FeRMI Epeak, is 40 +/- 2 keV</t>
  </si>
  <si>
    <t>R detection around 18</t>
  </si>
  <si>
    <t>2 (+ NuTTeIA 7)</t>
  </si>
  <si>
    <t>TAROT, KNC, NUTTelA</t>
  </si>
  <si>
    <t>detection KNC, TAROT UL, NUTTelA detection</t>
  </si>
  <si>
    <t>early + T0</t>
  </si>
  <si>
    <t>XRT,EP</t>
  </si>
  <si>
    <t>GRB 250424A</t>
  </si>
  <si>
    <t>GRB250628A</t>
  </si>
  <si>
    <t>https://skyportal-icare.ijclab.in2p3.fr/source/GRB-250628_005557</t>
  </si>
  <si>
    <t>25-06-28 00:55:57</t>
  </si>
  <si>
    <t>https://gcn.nasa.gov/circulars/events/grb-250628a?view=group&amp;query=250628A</t>
  </si>
  <si>
    <t>64 [15-350]</t>
  </si>
  <si>
    <t>photon index of 1.99</t>
  </si>
  <si>
    <t>Swift fluence 15-150 keV band is 1.9 +- 0.1 x 10^-6 erg/cm2 -  1-sec peak photon flux n the 15-150 keV band1.2 +- 0.2 ph/cm2/sec - peak count rate
was ~1066 counts/sec (15-350 keV)</t>
  </si>
  <si>
    <t>TAROT</t>
  </si>
  <si>
    <t>I have doubt it is detection in skyportal but not detection from any other instrument</t>
  </si>
  <si>
    <t>early</t>
  </si>
  <si>
    <t>Yes</t>
  </si>
  <si>
    <t>https://vizier.cds.unistra.fr/viz-bin/VizieR-4?-c=038.52175-38.09533&amp;-c.rs=5&amp;-out.add=_r&amp;-sort=_r&amp;-out.max=$4</t>
  </si>
  <si>
    <t>Coordinates points to LCRS B023204.0-381850 galaxy at a distance 106.67 from the coordinate. Vizier link is of this galaxy.</t>
  </si>
  <si>
    <t>GRB250702F</t>
  </si>
  <si>
    <t>https://skyportal-icare.ijclab.in2p3.fr/source/GRB-250702_210643</t>
  </si>
  <si>
    <r>
      <rPr>
        <rFont val="Roboto, Helvetica, Arial, sans-serif"/>
        <b val="0"/>
        <color rgb="FF000000"/>
      </rPr>
      <t>25-07-02 21:06:43</t>
    </r>
    <r>
      <rPr>
        <rFont val="Roboto, Helvetica, Arial, sans-serif"/>
        <b/>
        <color rgb="FF457B9D"/>
      </rPr>
      <t xml:space="preserve">
</t>
    </r>
  </si>
  <si>
    <t>Swift UVOT, Ondrejov, GOTO, MASTER, NOT, COLIBRI, DDOTI, REM, TRT, Skynet, AKO, Leavitt, VT, Konkoly, GROWTH-India, KNC, TAROT, Messina</t>
  </si>
  <si>
    <t>https://gcn.nasa.gov/circulars/events/grb-250702f?view=group&amp;query=250702F</t>
  </si>
  <si>
    <t>63.7 [15-350]</t>
  </si>
  <si>
    <t>photon index of 1.49</t>
  </si>
  <si>
    <t>swift fluence of 15-150 keV band is 4.8 +- 0.2 x 10^-6 erg/cm2.
The 1-sec peak photon flux in the 15-150 keV band
is 5.1 +- 0.3 ph/cm2/sec - peak count rate was ~4000 counts/sec 
(15-350 keV) - Fermi Epeak, is 403 +/- 148 keV</t>
  </si>
  <si>
    <t>bright C detection around 15</t>
  </si>
  <si>
    <t>TAROT, KNC</t>
  </si>
  <si>
    <t>GRB250704A</t>
  </si>
  <si>
    <t>https://skyportal-icare.ijclab.in2p3.fr/source/GCN-250704_034220</t>
  </si>
  <si>
    <t>25-07-04 21:06:43</t>
  </si>
  <si>
    <t>ECLAIRs, GRM, Swift BAT GUANO</t>
  </si>
  <si>
    <t>KNC, TAROT, VT, UVOT, Coliibri</t>
  </si>
  <si>
    <t>https://gcn.nasa.gov/circulars/events/grb-250704a?view=group&amp;query=250704A</t>
  </si>
  <si>
    <t>8 seconds [15-5000]</t>
  </si>
  <si>
    <t>VT R detection around 20.5</t>
  </si>
  <si>
    <t>TAROT, KNC, TRT (UL)</t>
  </si>
  <si>
    <t>no</t>
  </si>
  <si>
    <t>MXT, XRT</t>
  </si>
  <si>
    <t>https://vizier.cds.unistra.fr/viz-bin/VizieR-4?-c=017.1992-17.3061&amp;-c.rs=5&amp;-out.add=_r&amp;-sort=_r&amp;-out.max=$4</t>
  </si>
  <si>
    <t>The coordinates points to LEDA 885418 galaxy at 65.02 arcsec distance. The vizier link is of this galaxy.</t>
  </si>
  <si>
    <t>GRB 250704B</t>
  </si>
  <si>
    <t>GRB 250706B</t>
  </si>
  <si>
    <t>GRB250718A</t>
  </si>
  <si>
    <t>https://skyportal-icare.ijclab.in2p3.fr/source/GRB-250718_001403</t>
  </si>
  <si>
    <t>25-07-18 00:14:02</t>
  </si>
  <si>
    <t>https://gcn.nasa.gov/circulars/events/grb-250718a?view=group&amp;query=250718A</t>
  </si>
  <si>
    <t>a few millisecond</t>
  </si>
  <si>
    <t>swift peak count rate was ~1070
counts/sec (15-350 keV)</t>
  </si>
  <si>
    <t>UL (KNC), TAROT idk</t>
  </si>
  <si>
    <t>GRB250813B</t>
  </si>
  <si>
    <t>https://skyportal-icare.ijclab.in2p3.fr/source/GCN-250813_225115</t>
  </si>
  <si>
    <t>25-08-13 22:51:12</t>
  </si>
  <si>
    <t>ECLAIRs, GRM</t>
  </si>
  <si>
    <t>Ondrejob, COLIBRI, NOT</t>
  </si>
  <si>
    <t>https://gcn.nasa.gov/circulars/events/grb-250813b?view=group&amp;query=250813B</t>
  </si>
  <si>
    <t>20.4 [8-120]</t>
  </si>
  <si>
    <t>bright - ECLAIRS Epeak, is 104 +12/-10 keV total fluence in 4-120 keV is (1.10 +0.01/-0.03)e-5 erg/cm^2 - GRM Epeak, is 109 +6/-5 keV. fluence (10-1000 keV) is (1.35 +/-0.20)E-05 erg/cm^2</t>
  </si>
  <si>
    <t>i detection around 21</t>
  </si>
  <si>
    <t>XRT, EP, MXT</t>
  </si>
  <si>
    <t>GRB250818B</t>
  </si>
  <si>
    <t>https://skyportal-icare.ijclab.in2p3.fr/source/GCN-250818_032908</t>
  </si>
  <si>
    <t>25-08-18 03:29:09</t>
  </si>
  <si>
    <t>ECLAIRS</t>
  </si>
  <si>
    <t>GOTO, VT, KAIT, SAO RAS, NOT, TRT, Lesedi, Swift UVOT, Liverpool telescope, KNC, FTW, GRANDMA</t>
  </si>
  <si>
    <t>https://gcn.nasa.gov/circulars/events/grb-250818b?view=group&amp;query=250818B</t>
  </si>
  <si>
    <t>2.5 [5 - 20]</t>
  </si>
  <si>
    <t>L detection around 18.7</t>
  </si>
  <si>
    <t>AbAO, UBAI, TTT, OPD, new telescope IDK the name, KAO, KNC, NUTTelA</t>
  </si>
  <si>
    <t>T0 to T0+1 (need to add NUTTeIA)</t>
  </si>
  <si>
    <t>VLA, MeerKAT</t>
  </si>
  <si>
    <t>GRB251013C</t>
  </si>
  <si>
    <t>prompt brightness peak or flux peak</t>
  </si>
  <si>
    <t>Vizier data (Galaxy or not)</t>
  </si>
  <si>
    <t>Mags/UL</t>
  </si>
  <si>
    <t>VizieR link</t>
  </si>
  <si>
    <t>Catalog containing details to the closest position</t>
  </si>
  <si>
    <t>GRB231115A</t>
  </si>
  <si>
    <t>https://skyportal-icare.ijclab.in2p3.fr/source/INTEGRAL-GRB231115A</t>
  </si>
  <si>
    <t>https://grandma-owncloud.ijclab.in2p3.fr/index.php/apps/files?dir=/Candidates/GRB/GRB231115A&amp;fileid=1121918</t>
  </si>
  <si>
    <t>15:36:21 UT on 15 Nov 2023</t>
  </si>
  <si>
    <t>Fermi, INTEGRAL, Glowbug</t>
  </si>
  <si>
    <t xml:space="preserve"> 0.03 s (50-300 keV)</t>
  </si>
  <si>
    <t>hard</t>
  </si>
  <si>
    <t>The power law index : 0.5 +/- 0.2 - Epeak :  580 +/- 60 keV.
fluence (10-1000 keV) : (6.3 +/- 0.4)E-07 erg/cm^2. 64-ms peak photon flux in the 10-1000 keV band : 11 +/- 1 ph/s/cm^2</t>
  </si>
  <si>
    <t>host galaxy M82</t>
  </si>
  <si>
    <r>
      <rPr>
        <rFont val="Arial"/>
        <color theme="1"/>
      </rPr>
      <t xml:space="preserve">KNC, SNOVA, Abatumani, </t>
    </r>
    <r>
      <rPr>
        <rFont val="Arial"/>
        <strike/>
        <color theme="1"/>
      </rPr>
      <t>pas de TAROT</t>
    </r>
  </si>
  <si>
    <t>https://gcn.nasa.gov/circulars/events/grb-231115a?view=group&amp;query=231115A</t>
  </si>
  <si>
    <t>https://arxiv.org/abs/2312.02848</t>
  </si>
  <si>
    <t>magnetar giant flare or short GRB</t>
  </si>
  <si>
    <r>
      <rPr/>
      <t xml:space="preserve">[DSH86] K3 -- Part of a Galaxy at a distance of 18.44 arcsec from the coordinate. VizieR: </t>
    </r>
    <r>
      <rPr>
        <color rgb="FF1155CC"/>
        <u/>
      </rPr>
      <t>https://vizier.cds.unistra.fr/viz-bin/VizieR-4?-c=148.98754%2b69.68231&amp;-c.rs=5&amp;-out.add=_r&amp;-sort=_r&amp;-out.max=$4</t>
    </r>
    <r>
      <rPr/>
      <t xml:space="preserve">                  2. There are couple of SN remanants near by.</t>
    </r>
  </si>
  <si>
    <t>GRB 240713A</t>
  </si>
  <si>
    <r>
      <rPr>
        <color rgb="FF1155CC"/>
        <u/>
      </rPr>
      <t>GRB240713A</t>
    </r>
  </si>
  <si>
    <t>https://grandma-owncloud.ijclab.in2p3.fr/index.php/apps/files/?dir=/Candidates/GRB/GRB240713A%20&amp;fileid=1172853</t>
  </si>
  <si>
    <t>July 13 2024, 02:02:40 UTC</t>
  </si>
  <si>
    <t>ECLAIRs, GRM, Fermi subthreshold</t>
  </si>
  <si>
    <t>duration of about 60 s [10,1000]keV GRM</t>
  </si>
  <si>
    <t>TAROT-TCH + TRT-SBO</t>
  </si>
  <si>
    <t>T₀ + 8.5 h to T₀ + 9.3 h</t>
  </si>
  <si>
    <t>https://gcn.nasa.gov/circulars/events/grb-240713a?view=group&amp;query=240713A</t>
  </si>
  <si>
    <t>EP FXT</t>
  </si>
  <si>
    <t>GRB 240715A</t>
  </si>
  <si>
    <t>https://skyportal-icare.ijclab.in2p3.fr/source/GRB240715A</t>
  </si>
  <si>
    <t>GRB240715A - Files - ownCloud</t>
  </si>
  <si>
    <t>05:44:03 UT on 15 Jul 2024</t>
  </si>
  <si>
    <t>Fermi, SVOM/GRM, Konus, GECAM</t>
  </si>
  <si>
    <t>0.16 s (50-300 keV)</t>
  </si>
  <si>
    <t>Fermi: 64ms peak ph flux 10-1000 keV band is 47 +/- 2 ph/s/cm^2, Epeak 2323 keV - fluence (2.9 +/- 0.9)E-06</t>
  </si>
  <si>
    <t>TAROT–TCH + OPD</t>
  </si>
  <si>
    <t>T₀ + 1.5 h to T₀ + 5 h.  [T₀ + 2.5 h for OPD-single sequence]</t>
  </si>
  <si>
    <t>https://gcn.nasa.gov/circulars/events/grb-240715a?view=group&amp;query=240715A</t>
  </si>
  <si>
    <t>https://vizier.cds.unistra.fr/viz-bin/VizieR-4?-c=005.2483-36.5000&amp;-c.rs=5&amp;-out.add=_r&amp;-sort=_r&amp;-out.max=$4</t>
  </si>
  <si>
    <t>Position leads to LEDA 636028 Galaxy. VizieR link is of the galaxy</t>
  </si>
  <si>
    <t>GRB 240809A</t>
  </si>
  <si>
    <t>GRB240809</t>
  </si>
  <si>
    <r>
      <rPr>
        <color rgb="FF1155CC"/>
        <u/>
      </rPr>
      <t>GRB240809A - Files - ownCloud</t>
    </r>
  </si>
  <si>
    <t>2024-08-09 at 08:30:29 UTC (GCN 37110)</t>
  </si>
  <si>
    <t>Swift, GRM, Konus</t>
  </si>
  <si>
    <t>Swift UVOT, Skynet, Photon Ranch, JinShan, TNOT, GIT, KAIT, Bassano Bresciano, REM, Liverpool</t>
  </si>
  <si>
    <t xml:space="preserve">13.0+1.1 (10 - 1000)keV - 72.86 +- 19.39 sec (15-350 keV) - </t>
  </si>
  <si>
    <t>power law index : 1.17 +- 0.05. fluence in the 15-150 keV band : 9.7 +- 0.2 x 10^-06 erg/cm2. The 1-sec peak photon flux in the 15-150 keV band: 12.8 +- 0.4 ph/cm2/sec.</t>
  </si>
  <si>
    <t>very bright detection in W about 14.47</t>
  </si>
  <si>
    <t xml:space="preserve">AbAO-T70 + TAROT/TCH </t>
  </si>
  <si>
    <t>detection (I think faint from KNC)</t>
  </si>
  <si>
    <t>T₀ + 9 h to T₀ + 16 h</t>
  </si>
  <si>
    <t>https://gcn.nasa.gov/circulars/events/grb-240809a?view=group&amp;query=240809A</t>
  </si>
  <si>
    <t>(KNC also observed but no analysis has been made)</t>
  </si>
  <si>
    <t>GRB 240824A</t>
  </si>
  <si>
    <r>
      <rPr>
        <color rgb="FF1155CC"/>
        <u/>
      </rPr>
      <t>GRB240824</t>
    </r>
  </si>
  <si>
    <r>
      <rPr>
        <color rgb="FF1155CC"/>
        <u/>
      </rPr>
      <t>GRB240824A - Files - ownCloud</t>
    </r>
  </si>
  <si>
    <t>24-08-24 01:03:25 UT</t>
  </si>
  <si>
    <t>(15-350 keV) is
39.47 +- 3.44 sec</t>
  </si>
  <si>
    <t>power law index : 1.30 +- 0.14.  fluence in the 15-150 keV band: 1.3 +- 0.1 x 10^-6
erg/cm2. 1-sec peak photon flux in the 15-150
keV band : 0.7 +- 0.2 ph/cm2/sec.</t>
  </si>
  <si>
    <t>TAROT-TCA</t>
  </si>
  <si>
    <t>T₀ to T₀ + 0.1 day</t>
  </si>
  <si>
    <t>https://gcn.nasa.gov/circulars/events/grb-240824a?view=group&amp;query=240824A</t>
  </si>
  <si>
    <t>GRB 240828B</t>
  </si>
  <si>
    <t>S240828B</t>
  </si>
  <si>
    <t>https://grandma-owncloud.ijclab.in2p3.fr/index.php/apps/files/?dir=/Candidates/GRB/GRB240828B&amp;fileid=1176548</t>
  </si>
  <si>
    <t>2024-08-28T13:12:43 UT</t>
  </si>
  <si>
    <t>AbAO-T70 + TRT-SRO +ASO</t>
  </si>
  <si>
    <t>T₀ + 1 day to T₀ + 2 days.</t>
  </si>
  <si>
    <t>https://gcn.nasa.gov/circulars/events/grb-240828b?view=group&amp;query=240828B&amp;view=group&amp;limit=100</t>
  </si>
  <si>
    <t>soft and weak X-ray discovered in ECLAIRs during comissioning</t>
  </si>
  <si>
    <t>GRB 240905E</t>
  </si>
  <si>
    <r>
      <rPr>
        <color rgb="FF1155CC"/>
        <u/>
      </rPr>
      <t>GRB240905</t>
    </r>
  </si>
  <si>
    <r>
      <rPr>
        <color rgb="FF1155CC"/>
        <u/>
      </rPr>
      <t>GRB240905E - Files - ownCloud</t>
    </r>
  </si>
  <si>
    <t>24-09-05 18:26:03 UT</t>
  </si>
  <si>
    <t>Swift, GRM</t>
  </si>
  <si>
    <t>CrAO and NOT</t>
  </si>
  <si>
    <t>duration of about 10 sec (15-350)keV</t>
  </si>
  <si>
    <t>peak count rate around ~3000 counts/sec (15-350 keV)</t>
  </si>
  <si>
    <t>detection around 22 in R</t>
  </si>
  <si>
    <t>TAROT–Calern (TCA), NUTTelA</t>
  </si>
  <si>
    <t>no analysis, UL for NUTTeIA</t>
  </si>
  <si>
    <t>T₀ + ~52 min to T₀ + ~3.25 h</t>
  </si>
  <si>
    <t>https://gcn.nasa.gov/circulars/events/grb-240905e?view=group&amp;query=240905E</t>
  </si>
  <si>
    <t>Yes (no galaxy info)</t>
  </si>
  <si>
    <t>mag (r, i, z, FW1, FW2)</t>
  </si>
  <si>
    <t>https://vizier.cds.unistra.fr/viz-bin/VizieR-4?-c=345.806671%2b35.518050&amp;-c.rs=5&amp;-out.add=_r&amp;-sort=_r&amp;-out.max=$4</t>
  </si>
  <si>
    <t>Guide Star Cat, Pan-STARRS, unWISE, CatWISE2020, ROSAT</t>
  </si>
  <si>
    <t>There is an X-ray source very near-by. Not sure whether this is of the GRB. The VizieR link and details here are of the X-ray source.</t>
  </si>
  <si>
    <t>GRB 240912A</t>
  </si>
  <si>
    <r>
      <rPr>
        <color rgb="FF1155CC"/>
        <u/>
      </rPr>
      <t>GRB240912</t>
    </r>
  </si>
  <si>
    <t>GRB240912A - Files - ownCloud</t>
  </si>
  <si>
    <t>24-09-12 01:46:40 UT</t>
  </si>
  <si>
    <t>Fermi, Swift, Konus, INTEGRAL, GRM</t>
  </si>
  <si>
    <t>LCOGT, UVOT</t>
  </si>
  <si>
    <t xml:space="preserve">88.577 Fermi (50–300 keV) - 113.24 +- 7.83  Swift (15-350 keV) </t>
  </si>
  <si>
    <t>Epeak = 147 +/- 7 keV - fluence in the 15-150 keV : 3.4 +- 0.0 x 10^-05 erg/cm2
1-sec peak flux in the 15-150 keV : 
15.8 +- 0.5 ph/cm2/sec</t>
  </si>
  <si>
    <t>r band detection around 22.88</t>
  </si>
  <si>
    <t>TCH, TCA</t>
  </si>
  <si>
    <t>no analysis</t>
  </si>
  <si>
    <t>T₀ + 6.4 hr to T₀ + 7.7 hr</t>
  </si>
  <si>
    <t>https://gcn.nasa.gov/circulars/events/grb-240912a?view=group&amp;query=240912A</t>
  </si>
  <si>
    <t xml:space="preserve">UVOT </t>
  </si>
  <si>
    <t>mag (r, BJ, RF, G, Grvs, u, g, i, z, W1, W2, W3, W4, y, FW1, FW2)</t>
  </si>
  <si>
    <t>https://vizier.cds.unistra.fr/viz-bin/VizieR-4?-c=124.63189683%2b34.01989769&amp;-c.rs=5&amp;-out.add=_r&amp;-sort=_r&amp;-out.max=$4</t>
  </si>
  <si>
    <t>APM-North Cat, Gaia (IGSL), Guide Star Cat, SDSS, WISE, AllWISE, Pan-STARRS, unWISE, CatWISE2020, MORX, DESI, First Survey Cat)</t>
  </si>
  <si>
    <t>A radio galaxy NVSS J081832+340049 present near the position at 124.63188, 34.0199. The vizier link is of this galaxy.</t>
  </si>
  <si>
    <t>GRB 240911A</t>
  </si>
  <si>
    <t>https://skyportal-icare.ijclab.in2p3.fr/source/GRB240911A</t>
  </si>
  <si>
    <r>
      <rPr>
        <color rgb="FF1155CC"/>
        <u/>
      </rPr>
      <t>GRB240911A - Files - ownCloud</t>
    </r>
  </si>
  <si>
    <t>24-09-11 01:46:40 UT</t>
  </si>
  <si>
    <t xml:space="preserve">SVOM/ECLAIRs </t>
  </si>
  <si>
    <t>TCH</t>
  </si>
  <si>
    <t>https://gcn.nasa.gov/circulars/events/grb-240911a?view=group&amp;query=240911A</t>
  </si>
  <si>
    <t>mag (B, R, b, V, J, H, K, F, N, G, W1, W2, W3, W4, FUV, NUV, r, z, y, g, FW1, FW2, i)</t>
  </si>
  <si>
    <t>https://vizier.cds.unistra.fr/viz-bin/VizieR-4?-c=351.2721%2b21.3350&amp;-c.rs=5&amp;-out.add=_r&amp;-sort=_r&amp;-out.max=$4</t>
  </si>
  <si>
    <t>PMM USNO-A1.0, USNO-A2.0, APM-North Cat, GSC 2.2, USNO-B1.0, NOMAD, Guide Star Cat, PPMXL, Gaia (IGSL), Carlsberg Meridian Cat, URAT1, APOP, 2MASS, WISE, GALEX-DR5, AllWISE, Pan-STARRS, unWISE, CatWISE2020, SDSS, LAMOST DR7, MORX, GLADE, DESI</t>
  </si>
  <si>
    <t>The coordinates leads to LEDA 1647887 galaxy. VizieR link of this galaxy</t>
  </si>
  <si>
    <t>GRB 241001A</t>
  </si>
  <si>
    <r>
      <rPr>
        <color rgb="FF1155CC"/>
        <u/>
      </rPr>
      <t>GRB241001A</t>
    </r>
  </si>
  <si>
    <r>
      <rPr>
        <color rgb="FF1155CC"/>
        <u/>
      </rPr>
      <t>GRB241001A - Files - ownCloud</t>
    </r>
  </si>
  <si>
    <t>2024-10-01 17:08:45 UT</t>
  </si>
  <si>
    <t>Sinistro, UVOT, VT</t>
  </si>
  <si>
    <t>11.7 (5 - 20 keV)</t>
  </si>
  <si>
    <t>soft</t>
  </si>
  <si>
    <t>Fluence [erg cm-2] =  7e-8
gamma_1 = -1.7 (-0.6 / +1.3) 
E_break [keV] = 9.96 (-2.60 / +2.77)
gamma_2 = -5.4 (-2.2 / +1.9)</t>
  </si>
  <si>
    <t>detection around 20.7 in r</t>
  </si>
  <si>
    <t>z = 0.5727</t>
  </si>
  <si>
    <t>TAROT-Chile (TCH); iTelescope T72; TAROT-Réunion (TRE)</t>
  </si>
  <si>
    <t>Detected faint optical afterglow (mag 18.9 ± 0.2 at 48.75 min) by TRE</t>
  </si>
  <si>
    <t>TAROT-Réunion (TRE) T₀ + 42.3 min → T₀ + 3.18 h; iTelescope T72 T₀ + 11.43 h; TAROT-Chile (TCH) T₀ + 13.45 h. [Total observation: T₀ + 42.3 min → T₀ + 13.45 h]</t>
  </si>
  <si>
    <t>https://gcn.nasa.gov/circulars/events/grb-241001a?view=group&amp;query=241001A</t>
  </si>
  <si>
    <t>XRT, EP</t>
  </si>
  <si>
    <t>ATCA</t>
  </si>
  <si>
    <t>supernova</t>
  </si>
  <si>
    <t>GRB 241002C</t>
  </si>
  <si>
    <r>
      <rPr>
        <color rgb="FF1155CC"/>
        <u/>
      </rPr>
      <t>GRB241002C</t>
    </r>
  </si>
  <si>
    <r>
      <rPr>
        <color rgb="FF1155CC"/>
        <u/>
      </rPr>
      <t>GRB241002C - Files - ownCloud</t>
    </r>
  </si>
  <si>
    <t>2024-10-02T09:20:48 UT</t>
  </si>
  <si>
    <t xml:space="preserve">KNC </t>
  </si>
  <si>
    <t>No analysis</t>
  </si>
  <si>
    <t>https://gcn.nasa.gov/circulars/events/grb-241002c?view=group&amp;query=241002C#gcn-circular-37674</t>
  </si>
  <si>
    <t>MXT,  XRT</t>
  </si>
  <si>
    <t>GRB241006A</t>
  </si>
  <si>
    <t>https://skyportal-icare.ijclab.in2p3.fr/source/GRB-241006_215158</t>
  </si>
  <si>
    <t>https://grandma-owncloud.ijclab.in2p3.fr/index.php/apps/files/?dir=/Candidates/GRB/GRB241006A&amp;fileid=1189989</t>
  </si>
  <si>
    <t>24-10-06 21:54:23.5 UT</t>
  </si>
  <si>
    <t xml:space="preserve">47.95 (15-350 keV) </t>
  </si>
  <si>
    <t>power law index 1.52 +- 0.19 - fluence in the 15-150 keV band : 1.0 +- 0.1 x 10^-06
erg/cm2. 1-sec peak photon flux - in the 15-150 keV band is 0.6 +- 0.2 ph/cm2/sec</t>
  </si>
  <si>
    <t>OPD, TRT</t>
  </si>
  <si>
    <t>https://gcn.nasa.gov/circulars/events/grb-241006a?view=group&amp;query=241006A</t>
  </si>
  <si>
    <t>GRB241009A</t>
  </si>
  <si>
    <t>https://skyportal-icare.ijclab.in2p3.fr/source/GRB241009A</t>
  </si>
  <si>
    <t>https://grandma-owncloud.ijclab.in2p3.fr/index.php/apps/files?dir=/Candidates/GRB/GRB241009A/STACK&amp;fileid=1190397</t>
  </si>
  <si>
    <t>2024-10-09 19:17:29 UT</t>
  </si>
  <si>
    <t>SVOM/ECLAIRs</t>
  </si>
  <si>
    <t>TRE</t>
  </si>
  <si>
    <t>https://gcn.nasa.gov/circulars/events/grb-241009a?view=group&amp;query=241009A</t>
  </si>
  <si>
    <t>GRB241018A</t>
  </si>
  <si>
    <t>https://skyportal-icare.ijclab.in2p3.fr/source/GRB241018A</t>
  </si>
  <si>
    <t>https://grandma-owncloud.ijclab.in2p3.fr/index.php/apps/files/?dir=/Candidates/GRB/GRB241018A&amp;fileid=1190561</t>
  </si>
  <si>
    <t>2024-10-18 11:54:34 UT</t>
  </si>
  <si>
    <t>SVOM/ECLAIRs, KONUS</t>
  </si>
  <si>
    <t>VT, NOT, GFT, GRM</t>
  </si>
  <si>
    <t>12 s (18-1160 keV)</t>
  </si>
  <si>
    <t>(1.22 ± 0.18)x10^-5 erg/cm^2 and
a 64-ms peak energy flux
of (5.34 ± 0.64)x10^-6 erg/cm^2/s (in 20 keV - 10 MeV). Ep = 110 (-14,+16) keV</t>
  </si>
  <si>
    <t xml:space="preserve">16.90 in r </t>
  </si>
  <si>
    <t>4+</t>
  </si>
  <si>
    <t xml:space="preserve">KNC, TNT, HAO, UBAI </t>
  </si>
  <si>
    <t>UL HAO and UBAI, faint in TNT</t>
  </si>
  <si>
    <t>https://gcn.nasa.gov/circulars/events/grb-241018a?view=group&amp;query=241018A</t>
  </si>
  <si>
    <t>FXT, MXT</t>
  </si>
  <si>
    <t>https://vizier.cds.unistra.fr/viz-bin/VizieR-4?-c=067.92985%2b42.99326&amp;-c.rs=5&amp;-out.add=_r&amp;-sort=_r&amp;-out.max=$4</t>
  </si>
  <si>
    <t>EP-FXT found uncatalogues X-ray source in 67.9992, 43.0200 position;  Simbad gives a radio source NVSS J043143+425935 near by the coordinate. Vizier link of the radio source.</t>
  </si>
  <si>
    <t xml:space="preserve">GRB241025A </t>
  </si>
  <si>
    <t>https://skyportal-icare.ijclab.in2p3.fr/source/GRB-241025_013651</t>
  </si>
  <si>
    <t>https://grandma-owncloud.ijclab.in2p3.fr/index.php/apps/files/?dir=/Candidates/GRB/GRB241025A&amp;fileid=1191522</t>
  </si>
  <si>
    <t>Swift, Fermi, GRM</t>
  </si>
  <si>
    <t>DDOTI, NOT, GROWTH-India, VT, COLIBRI, Konkoly, SAO, UVOT, SAO RAS, Tsinghua-Nanshan, LBT</t>
  </si>
  <si>
    <t>124 s (50-300 keV).</t>
  </si>
  <si>
    <t xml:space="preserve"> Epeak, is 235 +/- 22 keV - event fluence (10-1000 keV) : (1.46 +/- 0.06)E-05 erg/cm^2. The 1-sec peak photon flux : in the 10-1000 keV band : 3 +/- 0.2 ph/s/cm^2</t>
  </si>
  <si>
    <t>w = 20.20 +/- 0.19 detection</t>
  </si>
  <si>
    <t>12+</t>
  </si>
  <si>
    <t>T0 to T0 + 3.2 days</t>
  </si>
  <si>
    <t>https://gcn.nasa.gov/circulars/events/ep241025a?view=group&amp;query=241025A</t>
  </si>
  <si>
    <t>Ongoing</t>
  </si>
  <si>
    <t>GRB241026A</t>
  </si>
  <si>
    <t>https://skyportal-icare.ijclab.in2p3.fr/source/GRB241026</t>
  </si>
  <si>
    <t>https://grandma-owncloud.ijclab.in2p3.fr/index.php/apps/files/?dir=/Candidates/GRB/GRB241026A&amp;fileid=1191546</t>
  </si>
  <si>
    <t>Fermi, Swift, GRBAlpha, GRM</t>
  </si>
  <si>
    <t>LBT,  SAO RAS, GROWTH-India, Las Cumbres, KAIT, Colibri, SAO RAS</t>
  </si>
  <si>
    <t>16 s (50-300 keV)</t>
  </si>
  <si>
    <t>Epeak, is 229 +/- 20 - event fluence (10-1000 keV) : (6.6 +/- 0.3)E-06 erg/cm^2. 1-sec peak photon flux : in the 10-1000 keV band is 7.1 +/- 0.3 ph/s/cm^2</t>
  </si>
  <si>
    <t>detection in R about R = 20.04</t>
  </si>
  <si>
    <t>z = 2.791</t>
  </si>
  <si>
    <t>(TNOT), TRT, KNC</t>
  </si>
  <si>
    <t>T0 to T0 + 2.2 days</t>
  </si>
  <si>
    <t>https://gcn.nasa.gov/circulars/events/ep241026a?view=group&amp;query=241026A</t>
  </si>
  <si>
    <t>No data available</t>
  </si>
  <si>
    <t>https://vizier.cds.unistra.fr/viz-bin/VizieR-4?-c=293.4008%2b57.9857&amp;-c.rs=5&amp;-out.add=_r&amp;-sort=_r&amp;-out.max=$4</t>
  </si>
  <si>
    <t>GRB241029A</t>
  </si>
  <si>
    <t>https://skyportal-icare.ijclab.in2p3.fr/source/GRB241029A</t>
  </si>
  <si>
    <t>https://grandma-owncloud.ijclab.in2p3.fr/index.php/apps/files/?dir=/Candidates/GRB/GRB241029A&amp;fileid=1191585</t>
  </si>
  <si>
    <t>02:19:59 UT on 29 Oct 2024</t>
  </si>
  <si>
    <t>SVOM/ECLAIRs, Fermi, GRM</t>
  </si>
  <si>
    <t>TRT, Colibri, Xinglong, Mephisto, MASTER, GOTO, AKO, OHP, GTC, SAO RAS, VT, LCO, GROWTH-India, AbAO</t>
  </si>
  <si>
    <t>13.3 s (50-300 keV)</t>
  </si>
  <si>
    <t>Epeak, is 220 +/- 10 keV.
fluence (10-1000 keV) : (9.2 +/- 0.3)E-06 erg/cm^2. 1-sec peak photon flux s in the 10-1000 keV band : 9.6 +/- 0.4 ph/s/cm^2</t>
  </si>
  <si>
    <t>detection R = 20.06</t>
  </si>
  <si>
    <t>z=1.072</t>
  </si>
  <si>
    <t>TRT</t>
  </si>
  <si>
    <t>https://gcn.nasa.gov/circulars/events/grb-241029a?view=group&amp;query=241029A</t>
  </si>
  <si>
    <t xml:space="preserve">Coordinates points to a radio source Zel 2138+048. </t>
  </si>
  <si>
    <t>GRB241030A</t>
  </si>
  <si>
    <t>On going</t>
  </si>
  <si>
    <t>GRB241127A</t>
  </si>
  <si>
    <t>https://skyportal-icare.ijclab.in2p3.fr/source/GRB241127</t>
  </si>
  <si>
    <t>24-11-27 21:43:16 UT</t>
  </si>
  <si>
    <t>LCOGT, PRIME</t>
  </si>
  <si>
    <t>10 sec (15-350 keV)</t>
  </si>
  <si>
    <t>Epeak of 19.0 +- 12.56 keV
fluence in the 15-150 keV band is 6.5 +- 0.8 x
10^-07 erg/cm2 and the 1-sec peak flux in the
15-150 keV band is 2.3 +- 0.2 ph/cm2/sec.</t>
  </si>
  <si>
    <t>detection in r around 19.42</t>
  </si>
  <si>
    <t>FRAM, TAROT, KNC</t>
  </si>
  <si>
    <t>https://gcn.nasa.gov/circulars/events/grb-241127a?view=group&amp;query=241127A&amp;view=group&amp;limit=100</t>
  </si>
  <si>
    <t>mags</t>
  </si>
  <si>
    <t>https://vizier.cds.unistra.fr/viz-bin/VizieR-4?-c=327.9126532900538-56.6519543183511&amp;-c.rs=5&amp;-out.add=_r&amp;-sort=_r&amp;-out.max=$4</t>
  </si>
  <si>
    <r>
      <rPr/>
      <t xml:space="preserve">Coordinate points to a WISE J215139.02-563906.9  galaxy which is at a distance 3.28 arcsec from the coordinate. The VizieR link is of the galaxy.               2. There is also WISE J215127.24-563800.0 -- Galaxy at a distance of 115.42. VizieR: </t>
    </r>
    <r>
      <rPr>
        <color rgb="FF1155CC"/>
        <u/>
      </rPr>
      <t>https://vizier.cds.unistra.fr/viz-bin/VizieR-4?-c=327.8635522367491-56.6333715323394&amp;-c.rs=5&amp;-out.add=_r&amp;-sort=_r&amp;-out.max=$4</t>
    </r>
    <r>
      <rPr/>
      <t xml:space="preserve">                3. APMCC 719 -- Cluster of Galaxies at distance of 101.88 arcsec. VizieR: </t>
    </r>
    <r>
      <rPr>
        <color rgb="FF1155CC"/>
        <u/>
      </rPr>
      <t>https://vizier.cds.unistra.fr/viz-bin/VizieR-4?-c=327.8621-56.6608&amp;-c.rs=5&amp;-out.add=_r&amp;-sort=_r&amp;-out.max=$4</t>
    </r>
    <r>
      <rPr/>
      <t xml:space="preserve"> </t>
    </r>
  </si>
  <si>
    <t>GRB241128A</t>
  </si>
  <si>
    <t>https://skyportal-icare.ijclab.in2p3.fr/source/GRB241128A</t>
  </si>
  <si>
    <t>https://grandma-owncloud.ijclab.in2p3.fr/index.php/apps/files/?dir=/Candidates/GRB/GRB241128A&amp;fileid=1204281</t>
  </si>
  <si>
    <t>24-11-28 16:14:34 UT</t>
  </si>
  <si>
    <t>Swift, Fermi sub</t>
  </si>
  <si>
    <t>OSN, LCO, NOT, Mondy, RAPAS, CrAO ZTSh</t>
  </si>
  <si>
    <t>4 s for Swift (15-350 keV) and 2 s for Fermi (ambiguous)</t>
  </si>
  <si>
    <t>power law index :
is 1.54 +- 0.31. fluence in the 15-150 keV band : 1.1 +- 0.2 x 10^-06
erg/cm2. 1-sec peak photon flux in the 15-150
keV band : 1.0 +- 0.2 ph/cm2/sec</t>
  </si>
  <si>
    <t>R detection around 19</t>
  </si>
  <si>
    <t>FRAM, TAROT-TCA, KNC</t>
  </si>
  <si>
    <t>https://gcn.nasa.gov/circulars/events/grb-241128a?view=group&amp;query=241128A</t>
  </si>
  <si>
    <t>GRB241209A</t>
  </si>
  <si>
    <t>https://skyportal-icare.ijclab.in2p3.fr/source/GRB241209A</t>
  </si>
  <si>
    <t>https://grandma-owncloud.ijclab.in2p3.fr/index.php/apps/files/?dir=/Candidates/GRB/GRB241209A&amp;fileid=1211061</t>
  </si>
  <si>
    <t>05:35:44 UT on 9 Dec 2024</t>
  </si>
  <si>
    <t>VLT/HAWK NIR (candidate)</t>
  </si>
  <si>
    <t>0.25 sec (15-350 keV)</t>
  </si>
  <si>
    <t>Epeak, is 140 +/- 25 keV.
 fluence (10-1000 keV) :
(1.2 +/- 0.2)E-07 erg/cm^2. 64-ms peak photon flux in the 10-1000 keV band - 5.3 +/- 0.9 ph/s/cm^2.</t>
  </si>
  <si>
    <t>z = 1.490 or z = 0.784</t>
  </si>
  <si>
    <t>TRT, TAROT-TCA</t>
  </si>
  <si>
    <t>https://gcn.nasa.gov/circulars/events/grb-241209a?view=group&amp;query=241209A</t>
  </si>
  <si>
    <t>XRT, Chandra</t>
  </si>
  <si>
    <t>GRB241209B</t>
  </si>
  <si>
    <t>https://skyportal-icare.ijclab.in2p3.fr/source/GRB241209B</t>
  </si>
  <si>
    <t>https://grandma-owncloud.ijclab.in2p3.fr/index.php/apps/files/?dir=/Candidates/GRB/GRB241209B/STACK&amp;fileid=1209131</t>
  </si>
  <si>
    <t>2024-12-09 03:56:20 UT</t>
  </si>
  <si>
    <t>ECLAIRs, GRM, Swift, GRBAlpha, 
Konus-Wind</t>
  </si>
  <si>
    <t>VT, Mondy AZT-33IK, AbAO AS-32</t>
  </si>
  <si>
    <t>3.7 -0.2 / +1.1 s (5-120 keV)</t>
  </si>
  <si>
    <t>fluence: 4.45(-0.41,+1.38)x10^-7 erg/cm2 - 16-ms peak flux: 1.66(-0.55,+0.74)x10^-6 erg/cm2/s (both in the 20 keV - 10 MeV energy range).</t>
  </si>
  <si>
    <t>VT_R= 21.75 detection</t>
  </si>
  <si>
    <t>z = 0.173 or z = 0.575 or z = 3.831</t>
  </si>
  <si>
    <t>https://gcn.nasa.gov/circulars/events/grb-241209b?view=group&amp;query=241209B</t>
  </si>
  <si>
    <t>XRT, EP-FXT</t>
  </si>
  <si>
    <t>GRB241213A</t>
  </si>
  <si>
    <t>https://skyportal-icare.ijclab.in2p3.fr/source/GRB241213</t>
  </si>
  <si>
    <t>https://grandma-owncloud.ijclab.in2p3.fr/index.php/apps/files/?dir=/Candidates/GRB/GRB241213A/IMAGES/STACK&amp;fileid=1211227</t>
  </si>
  <si>
    <t>2024-12-13 02:19:00 UT</t>
  </si>
  <si>
    <t>Swift, INTEGRAL, Konus-Wind, GRBAlpha</t>
  </si>
  <si>
    <t>VT</t>
  </si>
  <si>
    <t>(15-350 keV) is 10.3 +- 3.1 sec</t>
  </si>
  <si>
    <t>power law index:
1.26 +- 0.06.  fluence in the 15-150 keV band: 4.1 +- 0.1 x 10^-6 erg/cm2.
1-sec peak photon flux in the 15-150 keV band: 10.3 +- 0.5 ph/cm2/sec.</t>
  </si>
  <si>
    <t>23.8 ± 0.3 mag detection VT_R</t>
  </si>
  <si>
    <t>KAO</t>
  </si>
  <si>
    <t>https://gcn.nasa.gov/circulars/events/ep241213a?view=group&amp;query=241213A</t>
  </si>
  <si>
    <t>GRB241217A</t>
  </si>
  <si>
    <t>https://skyportal-icare.ijclab.in2p3.fr/source/GRB241217A_SVOM</t>
  </si>
  <si>
    <t>https://grandma-owncloud.ijclab.in2p3.fr/index.php/apps/files/?dir=/Candidates/GRB/GRB241217A/IMAGES/STACK&amp;fileid=1214799</t>
  </si>
  <si>
    <t>024-12-17T16:57:13 UTC</t>
  </si>
  <si>
    <t>SVOM/ECLAIRs,GRM, Fermi GBM (subtreshold)</t>
  </si>
  <si>
    <t>VT, SOAR</t>
  </si>
  <si>
    <t>about 550 s</t>
  </si>
  <si>
    <t>power law index: -0.68 +/- 0.21 ; Epeak, is 36 +/- 2 keV ;fluence (10-1000 keV): (1.24 +/- 0.05)E-05 erg/cm^2</t>
  </si>
  <si>
    <t>VT_R=21.4 mag detection</t>
  </si>
  <si>
    <t>z=1.879</t>
  </si>
  <si>
    <t>TAROT, Pic du Midi</t>
  </si>
  <si>
    <t>https://gcn.nasa.gov/circulars/events/ep241217b?view=group&amp;query=241217A</t>
  </si>
  <si>
    <t>MXT, XRT, EP</t>
  </si>
  <si>
    <t>ATCA, VLA</t>
  </si>
  <si>
    <t>GRB241229A</t>
  </si>
  <si>
    <t>https://skyportal-icare.ijclab.in2p3.fr/source/sb24122901</t>
  </si>
  <si>
    <t>https://grandma-owncloud.ijclab.in2p3.fr/index.php/apps/files/?dir=/Candidates/GRB/GRB241229A/STACK&amp;fileid=1215724</t>
  </si>
  <si>
    <t>KNC, TRT</t>
  </si>
  <si>
    <t>https://gcn.nasa.gov/circulars/events/grb-241229a?view=group&amp;query=241229A</t>
  </si>
  <si>
    <t>EP-FXT, XRT</t>
  </si>
  <si>
    <t>GRB241229B</t>
  </si>
  <si>
    <t>https://skyportal-icare.ijclab.in2p3.fr/source/GRB241229</t>
  </si>
  <si>
    <t>Fermi GBM, Swift, GRM</t>
  </si>
  <si>
    <t>VT, CrAO</t>
  </si>
  <si>
    <t>6 s (50-300 keV)</t>
  </si>
  <si>
    <t>power law index: -0.7 +/- 0.2 - Epeak, is 76 +/- 5 keV - fluence (10-1000 keV):
(1.24 +/- 0.06)E-06 erg/cm^2. 1-sec peak photon flux: in the 10-1000 keV band is 6.1 +/- 0.3 ph/s/cm^2. OR fluence in the 15-150 keV band: 7.0 +- 0.6 x 10^-07
erg/cm2 ; the 1-sec peak flux in the 15-150 keV
band : 4.0 +- 0.3 ph/cm2/sec.</t>
  </si>
  <si>
    <t>VT_R= 21.8 ± 0.1 mag mag detection</t>
  </si>
  <si>
    <t>https://gcn.nasa.gov/circulars/events/grb-241229b?view=group&amp;query=241229B</t>
  </si>
  <si>
    <t>https://www.aanda.org/articles/aa/pdf/2024/02/aa47938-23.pdf</t>
  </si>
  <si>
    <t>GRANDMA paper</t>
  </si>
  <si>
    <t>GRB Time (UT)</t>
  </si>
  <si>
    <t>Enhanced XRT RA (deg)</t>
  </si>
  <si>
    <t>T_90 (in 15-350 keV) (sec)</t>
  </si>
  <si>
    <t>Data used in the paper.</t>
  </si>
  <si>
    <t>GRB220319A</t>
  </si>
  <si>
    <t>https://grandma-owncloud.ijclab.in2p3.fr/index.php/apps/files/?dir=/Candidates/GRB/GRB220319A_1098132_SWIFT&amp;fileid=422859</t>
  </si>
  <si>
    <t>https://gcn.nasa.gov/circulars/events/grb-220319a?view=group&amp;query=GRB+220319A</t>
  </si>
  <si>
    <t xml:space="preserve">22-03-19T17:40:33 </t>
  </si>
  <si>
    <t>SWIFT/BAT</t>
  </si>
  <si>
    <t xml:space="preserve">6.44 +- 1.54 </t>
  </si>
  <si>
    <t>Soft-ish BAT spectrum: power-law index Γ ≈ 2.15 ± 0.28</t>
  </si>
  <si>
    <t>1-s peak (15–150 keV): 1.5 ± 0.2 ph cm⁻² s⁻¹; fluence (15–150 keV): (2.3 ± 0.4)×10⁻⁷ erg cm⁻²; peak count rate ~1400 counts s⁻¹</t>
  </si>
  <si>
    <t>No, all are UL</t>
  </si>
  <si>
    <t>Unknown</t>
  </si>
  <si>
    <t>12 listed in GCN</t>
  </si>
  <si>
    <t>KNC-HAN, KNC-TJML, KNC-T-BRO, KNC-K26, KNC-T-CAT (Blue/Green/Red), KNC-TJMS-PS, ALi-50, KNC-T-AGU, C11FREE</t>
  </si>
  <si>
    <t>Yes — Swift/XRT afterglow; decay α = 0.86 (+0.08/−0.07); X-ray photon index Γ = 2.2 (+0.5/−0.4)</t>
  </si>
  <si>
    <t>Yes — Swift/XRT detected and measured a decaying afterglow (α ≈ 0.86).</t>
  </si>
  <si>
    <t>No — upper limit u &gt; 19.2 mag (3σ, 250 s after T₀)</t>
  </si>
  <si>
    <t>https://iopscience.iop.org/article/10.3847/1538-4357/ad1b59</t>
  </si>
  <si>
    <t>Tess data</t>
  </si>
  <si>
    <t xml:space="preserve">Yes </t>
  </si>
  <si>
    <t>FW1, FW2, W1, W2</t>
  </si>
  <si>
    <t>https://vizier.cds.unistra.fr/viz-bin/VizieR-4?-c=218.22442%2b61.29536&amp;-c.rs=5&amp;-out.add=_r&amp;-sort=_r&amp;-out.max=$4</t>
  </si>
  <si>
    <t>unWISE, CatWISE2020</t>
  </si>
  <si>
    <r>
      <rPr/>
      <t xml:space="preserve">1. This coordinate also gives a link to "group of galaxies" [DCA2018] 412257. The VizieR link has only 1 R mag value: </t>
    </r>
    <r>
      <rPr>
        <color rgb="FF1155CC"/>
        <u/>
      </rPr>
      <t>https://vizier.cds.unistra.fr/viz-bin/VizieR-4?-c=218.21484%2b61.27079&amp;-c.rs=5&amp;-out.add=_r&amp;-sort=_r&amp;-out.max=$4</t>
    </r>
    <r>
      <rPr/>
      <t xml:space="preserve">                      2. Also, shows 2MASX J14325319+6115599 -- Seyfert 2 Galaxy. This has plenty of data in Vizier: </t>
    </r>
    <r>
      <rPr>
        <color rgb="FF1155CC"/>
        <u/>
      </rPr>
      <t>https://vizier.cds.unistra.fr/viz-bin/VizieR-4?-c=218.221662%2b61.266664&amp;-c.rs=5&amp;-out.add=_r&amp;-sort=_r&amp;-out.max=$4</t>
    </r>
    <r>
      <rPr/>
      <t xml:space="preserve">                               3. SDSS J143247.87+611818.5 -- Quasar. VizieR: </t>
    </r>
    <r>
      <rPr>
        <color rgb="FF1155CC"/>
        <u/>
      </rPr>
      <t>https://vizier.cds.unistra.fr/viz-bin/VizieR-4?-c=218.1994999053400%2b61.3051612313200&amp;-c.rs=5&amp;-out.add=_r&amp;-sort=_r&amp;-out.max=$4</t>
    </r>
    <r>
      <rPr/>
      <t xml:space="preserve"> </t>
    </r>
  </si>
  <si>
    <t>GRB220325A</t>
  </si>
  <si>
    <t>https://grandma-owncloud.ijclab.in2p3.fr/index.php/apps/files/?dir=/Candidates/GRB/GRB220325A_1099310_SWIFT&amp;fileid=434524</t>
  </si>
  <si>
    <t>https://gcn.nasa.gov/circulars/events/grb-220325a?view=group&amp;query=220325A</t>
  </si>
  <si>
    <t>2022-03-25T17:16:23 UT</t>
  </si>
  <si>
    <t>Swift/BAT. Fermi-GBM reported a sub-threshold detection (no onboard trigger).</t>
  </si>
  <si>
    <t xml:space="preserve">3.50 +- 0.56 </t>
  </si>
  <si>
    <t>Cutoff power-law: Eₚ = 39.3 ± 8.9 keV; CPL photon index 0.69 ± 1.13. Simple PL fit gives Γ = 2.06 ± 0.17.</t>
  </si>
  <si>
    <t>1-s peak (15–150 keV): 2.0 ± 0.3 ph cm⁻² s⁻¹; Fluence (15–150 keV): (2.9 ± 0.4)×10⁻⁷ erg cm⁻².</t>
  </si>
  <si>
    <t>SNOVA, NOWT, KAO, C2PU.</t>
  </si>
  <si>
    <t>From T0+4.28 hr to T0+10.14 hr</t>
  </si>
  <si>
    <t>Yes - SWIFT/XRT detected and gave refined position</t>
  </si>
  <si>
    <t>No - 3-sigma upper limit has been about 19.6 mag.</t>
  </si>
  <si>
    <t>Yes (No galaxy tag)</t>
  </si>
  <si>
    <t>mag (i, z, y, J, K, W1, W2, Y, H)</t>
  </si>
  <si>
    <t>https://vizier.cds.unistra.fr/viz-bin/VizieR-4?-c=269.48750-07.03592&amp;-c.rs=5&amp;-out.add=_r&amp;-sort=_r&amp;-out.max=$4</t>
  </si>
  <si>
    <t>Guide Star Cat, Pan-STARRS, VHS, CatWISE2020</t>
  </si>
  <si>
    <t>GRB220403B</t>
  </si>
  <si>
    <t>https://grandma-owncloud.ijclab.in2p3.fr/index.php/apps/files/?dir=/Candidates/GRB/GRB220403_SWIFT&amp;fileid=439564</t>
  </si>
  <si>
    <t>https://gcn.nasa.gov/circulars/events/grb-220403b?view=group&amp;query=220403B</t>
  </si>
  <si>
    <t xml:space="preserve">Swift/BAT and Fermi-GBM </t>
  </si>
  <si>
    <t>GRANDMA-ALi-50, 1.5m OSN , Kitab, Swift/UVOT, LBT, Nanshan/NEXT, D50</t>
  </si>
  <si>
    <t>27.0 ± 3.4 s (15–350 keV), Swift/BAT; ≈ 28 s</t>
  </si>
  <si>
    <t>BAT time-avg. PL index 1.94 ± 0.06; GBM: power law index is -1.2 +/- 0.1, cutoff-PL with Eₚ ≈ 79 ± 3 keV (also Band fit α ≈ −1.1, β ≈ −2.6)</t>
  </si>
  <si>
    <t>BAT 1-s peak (15–150 keV): 2.7 ± 0.3 ph cm⁻² s⁻¹; fluence (15–150 keV): 3.7 ± 0.1 × 10⁻⁶ erg cm⁻². GBM 1-s peak (10–1000 keV): 4.3 ± 0.2 ph cm⁻² s⁻¹; fluence (10–1000 keV): 5.2 ± 0.1 × 10⁻⁶ erg cm⁻²</t>
  </si>
  <si>
    <t>Report lists 7 observing sequences (3 detections + 4 later UL sequences).</t>
  </si>
  <si>
    <t>ALi-50; SNOVA; KNC-T-CAT</t>
  </si>
  <si>
    <t>Detection within first hour (ALi-50), followed by upper limits at later times.</t>
  </si>
  <si>
    <t>T₀ + 0.13 h (first detection) to T₀ + 24.72 h</t>
  </si>
  <si>
    <t>Yes — Swift/XRT afterglow; refined position, early steep then shallow decay.</t>
  </si>
  <si>
    <t>Yes — UVOT detection; precise UVOT position and early mags reported.</t>
  </si>
  <si>
    <t>GRB220404A</t>
  </si>
  <si>
    <t>triggered but didn't follow up; too close to sun</t>
  </si>
  <si>
    <t>https://gcn.nasa.gov/circulars/events/grb-220404a?view=group&amp;query=GRB+220404A</t>
  </si>
  <si>
    <t>SWIFT</t>
  </si>
  <si>
    <t>2.54 +- 0.66 sec</t>
  </si>
  <si>
    <t>power law index of the time-averaged spectrum is
1.90 +- 0.36</t>
  </si>
  <si>
    <t>The fluence in the 15-150 keV band is 1.4 +- 0.3 x 10^-7 erg/cm2.
The 1-sec peak photon flux measured from T+1.15 sec in the 15-150 keV band
is 1.1 +- 0.3 ph/cm2/sec</t>
  </si>
  <si>
    <t>none</t>
  </si>
  <si>
    <t>None</t>
  </si>
  <si>
    <t>No data available on the vizier link</t>
  </si>
  <si>
    <t xml:space="preserve"> </t>
  </si>
  <si>
    <t>https://vizier.cds.unistra.fr/viz-bin/VizieR-4?-c=050.41250%2b10.00094&amp;-c.rs=5&amp;-out.add=_r&amp;-sort=_r&amp;-out.max=$4</t>
  </si>
  <si>
    <t>GRB220408A</t>
  </si>
  <si>
    <t>No GRANDMA GCN</t>
  </si>
  <si>
    <t>https://grandma-owncloud.ijclab.in2p3.fr/index.php/apps/files/?dir=/Candidates/GRB/GRB220408_1101675_SWIFT&amp;fileid=441990</t>
  </si>
  <si>
    <t>https://gcn.nasa.gov/circulars/events/grb-220408b?view=group&amp;query=220408B</t>
  </si>
  <si>
    <t>Fermi-GBM (trigger); also detected by AstroSat-CZTI, Konus-Wind, Fermi-LAT</t>
  </si>
  <si>
    <t>33 s (50–300 keV) — GBM; ~25 s — CZTI (20–200 keV, Veto 100–500 keV); ~35 s — Konus-Wind (20 keV–10 MeV)</t>
  </si>
  <si>
    <t>Band fit Eₚ = 214 ± 8 keV, α = −0.80 ± 0.02, β = −2.33 ± 0.09 (GBM); Konus-Wind Band Eₚ ≈ 231 ± 20 keV</t>
  </si>
  <si>
    <t>GBM 1-s peak (10–1000 keV): 17.1 ± 0.3 ph cm⁻² s⁻¹; fluence (10–1000 keV): (3.68 ± 0.05)×10⁻⁵ erg cm⁻². Konus-Wind 64-ms peak flux (20 keV–10 MeV): 7.26(+1.63/−1.60)×10⁻⁶ erg cm⁻² s⁻¹; fluence: 4.1(+0.5/−0.4)×10⁻⁵ erg cm⁻²</t>
  </si>
  <si>
    <t>Yes — Fermi-LAT detection; best on-ground location RA 92.48°, Dec −50.97° (±0.06°); highest-energy photon 22 GeV at T₀+42 s</t>
  </si>
  <si>
    <t>https://vizier.cds.unistra.fr/viz-bin/VizieR-4?-c=202.41658%2b47.06911&amp;-c.rs=5&amp;-out.add=_r&amp;-sort=_r&amp;-out.max=$4</t>
  </si>
  <si>
    <t>GRB220412A</t>
  </si>
  <si>
    <t>https://grandma-owncloud.ijclab.in2p3.fr/index.php/apps/files/?dir=/Candidates/GRB/GRB220412_1102281_SWIFT&amp;fileid=449765</t>
  </si>
  <si>
    <t>https://gcn.nasa.gov/circulars/events/grb-220412a?view=group&amp;query=220412</t>
  </si>
  <si>
    <t>Swift/BAT</t>
  </si>
  <si>
    <t>RATIR (detected and fading: i≈19.3 at 0.1–0.5 h; i≈20.6 at 20.7–22 h; i≈21.5 at 44.9–48.9 h; GCNs 31882, 31898, 31902). Upper limits from MITSuME, UVOT, BOOTES, VIRT (GCNs 31891, 31885, 31901, 32326).</t>
  </si>
  <si>
    <t>41.66 ± 7.00 s</t>
  </si>
  <si>
    <t>BAT simple PL index Γ = 1.53 ± 0.21</t>
  </si>
  <si>
    <t>1-s peak = 0.5 ± 0.1 ph cm⁻² s⁻¹ (15–150 keV); fluence = (5.9 ± 0.9)×10⁻⁷ erg cm⁻² (15–150 keV); peak count rate ~900 cts/s</t>
  </si>
  <si>
    <t>Xinglong-2.16 m, OST/CDK20, KNC-HAO, TRT-SRO, KNC-T24</t>
  </si>
  <si>
    <t>T₀ + 5.55 h → T₀ + 21.95 h</t>
  </si>
  <si>
    <t>NA</t>
  </si>
  <si>
    <t>Yes — Swift/XRT (enhanced position; decay with α≈2.10 then ≈0.98 after a break)</t>
  </si>
  <si>
    <t>mag (W1, W2, FW1, FW2)</t>
  </si>
  <si>
    <t>https://vizier.cds.unistra.fr/viz-bin/VizieR-4?-c=123.96813%2b30.34292&amp;-c.rs=5&amp;-out.add=_r&amp;-sort=_r&amp;-out.max=$4</t>
  </si>
  <si>
    <t>unWise, CatWISE2020</t>
  </si>
  <si>
    <r>
      <rPr/>
      <t xml:space="preserve">Points to Cluster of Galaxies [SPD2011] 57955. There are bit of data in VizieR: </t>
    </r>
    <r>
      <rPr>
        <color rgb="FF1155CC"/>
        <u/>
      </rPr>
      <t>https://vizier.cds.unistra.fr/viz-bin/VizieR-4?-c=123.9708%2b30.3433&amp;-c.rs=5&amp;-out.add=_r&amp;-sort=_r&amp;-out.max=$4</t>
    </r>
    <r>
      <rPr/>
      <t xml:space="preserve">.                          2. SDSS J081553.00+302035.8 -- Brightest Galaxy in a Cluster (BCG). VizIeR: </t>
    </r>
    <r>
      <rPr>
        <color rgb="FF1155CC"/>
        <u/>
      </rPr>
      <t>https://vizier.cds.unistra.fr/viz-bin/VizieR-4?-c=123.97085229%2b30.34328339&amp;-c.rs=5&amp;-out.add=_r&amp;-sort=_r&amp;-out.max=$4</t>
    </r>
    <r>
      <rPr/>
      <t xml:space="preserve">                        3. FIRST J081552.9+302036 -- Radio Galaxy. VizieR: </t>
    </r>
    <r>
      <rPr>
        <color rgb="FF1155CC"/>
        <u/>
      </rPr>
      <t>https://vizier.cds.unistra.fr/viz-bin/VizieR-4?-c=123.970817%2b30.343497&amp;-c.rs=5&amp;-out.add=_r&amp;-sort=_r&amp;-out.max=$4</t>
    </r>
    <r>
      <rPr/>
      <t xml:space="preserve">                              4. SDSS J081558.76+302106.0 -- Brightest Galaxy in a Cluster (BCG). VizieR: </t>
    </r>
    <r>
      <rPr>
        <color rgb="FF1155CC"/>
        <u/>
      </rPr>
      <t>https://vizier.cds.unistra.fr/viz-bin/VizieR-4?-c=123.994840%2b30.351687&amp;-c.rs=5&amp;-out.add=_r&amp;-sort=_r&amp;-out.max=$4</t>
    </r>
    <r>
      <rPr/>
      <t xml:space="preserve">                                     5. SDSS J081556.71+301917.9 -- Brightest Galaxy in a Cluster (BCG). Vizier: </t>
    </r>
    <r>
      <rPr>
        <color rgb="FF1155CC"/>
        <u/>
      </rPr>
      <t>https://vizier.cds.unistra.fr/viz-bin/VizieR-4?-c=123.986313%2b30.321664&amp;-c.rs=5&amp;-out.add=_r&amp;-sort=_r&amp;-out.max=$4</t>
    </r>
    <r>
      <rPr/>
      <t xml:space="preserve">                          6. SDSS J081555.03+301903.6 -- Quasar. VizieR: </t>
    </r>
    <r>
      <rPr>
        <color rgb="FF1155CC"/>
        <u/>
      </rPr>
      <t>https://vizier.cds.unistra.fr/viz-bin/VizieR-4?-c=123.979299%2b30.317668&amp;-c.rs=5&amp;-out.add=_r&amp;-sort=_r&amp;-out.max=$4</t>
    </r>
    <r>
      <rPr/>
      <t xml:space="preserve"> </t>
    </r>
  </si>
  <si>
    <t>GRB220412B</t>
  </si>
  <si>
    <t>https://gcn.nasa.gov/circulars/events/grb-220412b?view=group&amp;query=GRB+220412B</t>
  </si>
  <si>
    <t xml:space="preserve"> 0.14 +- 0.04 sec </t>
  </si>
  <si>
    <t>The power law index of the time-averaged spectrum is
1.17 +- 0.20</t>
  </si>
  <si>
    <t>The fluence in the 15-150 keV band is 8.9 +- 1.2 x 10^-08 erg/cm2.
The 1-sec peak photon flux measured from T-0.44 sec in the 15-150 keV band
is 1.0 +- 0.2 ph/cm2/sec</t>
  </si>
  <si>
    <r>
      <rPr/>
      <t xml:space="preserve">1)  WiggleZ R22J212302678-00164517 -- Galaxy. Vizier: </t>
    </r>
    <r>
      <rPr>
        <color rgb="FF1155CC"/>
        <u/>
      </rPr>
      <t>https://vizier.cds.unistra.fr/viz-bin/VizieR-4?-c=320.7611651-00.2792510&amp;-c.rs=5&amp;-out.add=_r&amp;-sort=_r&amp;-out.max=$4</t>
    </r>
    <r>
      <rPr/>
      <t xml:space="preserve">          2) SDSS J212301.43-001428.4 -- Quasar. Vizier: </t>
    </r>
    <r>
      <rPr>
        <color rgb="FF1155CC"/>
        <u/>
      </rPr>
      <t>https://vizier.cds.unistra.fr/viz-bin/VizieR-4?-c=320.755973-00.241246&amp;-c.rs=5&amp;-out.add=_r&amp;-sort=_r&amp;-out.max=$4</t>
    </r>
    <r>
      <rPr/>
      <t xml:space="preserve">      3) WiggleZ R22J212307896-00165420 -- Galaxy. Vizier: </t>
    </r>
    <r>
      <rPr>
        <color rgb="FF1155CC"/>
        <u/>
      </rPr>
      <t>https://vizier.cds.unistra.fr/viz-bin/VizieR-4?-c=320.7829091-00.2817610&amp;-c.rs=5&amp;-out.add=_r&amp;-sort=_r&amp;-out.max=$4</t>
    </r>
    <r>
      <rPr/>
      <t xml:space="preserve"> </t>
    </r>
  </si>
  <si>
    <t>GRB220427A</t>
  </si>
  <si>
    <t>https://grandma-owncloud.ijclab.in2p3.fr/index.php/apps/files/?dir=/Candidates/GRB/GRB220427_1104343_SWIFT&amp;fileid=473917</t>
  </si>
  <si>
    <t>https://gcn.nasa.gov/circulars/events/grb-220427a?view=group&amp;query=220427A</t>
  </si>
  <si>
    <t>−56.25541</t>
  </si>
  <si>
    <t xml:space="preserve"> Swift/BAT and Konus-Wind</t>
  </si>
  <si>
    <t>Swift/UVOT (White ~17.23 at 181 s); GRANDMA (TAROT La Réunion; Les Makes T60; early detections); LCO 1-m (R=20.35, I=20.15 at ~2 h); VLT/X-shooter (acq. images) (g′, r′, z′ at ~7.9 h); MeerLICHT (stacked detections g,r,i,z,q at ~3.8 h).</t>
  </si>
  <si>
    <t>57.2 ± 12.2 s (15–350 keV) — Swift/BAT refined. (Konus-Wind total duration ~15 s in 20 keV–10 MeV)</t>
  </si>
  <si>
    <t>BAT time-avg spectrum PL Γ = 1.23 ± 0.13 (hard); Konus-Wind CPL α ≈ −1.04, Eₚ ≈ 503 keV</t>
  </si>
  <si>
    <t>BAT 1-s peak: 3.0 ± 0.3 ph cm⁻² s⁻¹ (15–150 keV). BAT fluence: (2.1 ± 0.2)×10⁻⁶ erg cm⁻² (15–150 keV). Konus-Wind 64-ms peak energy flux: (2.5 ± 0.7)×10⁻⁶ erg cm⁻² s⁻¹; fluence: (1.0 ± 0.3)×10⁻⁵ erg cm⁻² (20 keV–10 MeV)</t>
  </si>
  <si>
    <t>Yes — multiple detections</t>
  </si>
  <si>
    <t>TAROT La Réunion (TRE), Les Makes T60, KNC-CDK400 (0.4 m CDK), maybe TCA</t>
  </si>
  <si>
    <t>Detection early (TRE &amp; Makes-T60); UL later (KNC-CDK400 R &gt; 21.0)</t>
  </si>
  <si>
    <t>T₀ + 0.04 h → T₀ + 11.37 h</t>
  </si>
  <si>
    <t>Yes — Swift/XRT detection</t>
  </si>
  <si>
    <t>Yes — UVOT White ~17.23 ± 0.14 at T₀+181 s</t>
  </si>
  <si>
    <t>NO</t>
  </si>
  <si>
    <t>https://iopscience.iop.org/article/10.3847/1538-4357/adb71e/pdf</t>
  </si>
  <si>
    <t>Radio</t>
  </si>
  <si>
    <t>Mag (B, R, b, r, j, G</t>
  </si>
  <si>
    <t>https://vizier.cds.unistra.fr/viz-bin/VizieR-4?-c=275.88833-56.25511&amp;-c.rs=5&amp;-out.add=_r&amp;-sort=_r&amp;-out.max=$4</t>
  </si>
  <si>
    <t xml:space="preserve">PMM USNO-A1.0, USNO-A2.0, USNO-B1.0, NOMAD, Guide Star Cat, PPMXL, IGSL, Gaia DR1, HSOY, Gaia DR2, VHS, CatWISE, MORX (Radio/X-ray), </t>
  </si>
  <si>
    <t>GRB220430A</t>
  </si>
  <si>
    <t>https://grandma-owncloud.ijclab.in2p3.fr/index.php/apps/files/?dir=/Candidates/GRB/GRB220430_1104692_SWIFT&amp;fileid=476672</t>
  </si>
  <si>
    <t>https://gcn.nasa.gov/circulars/events/grb-220430a?view=group&amp;query=220430A</t>
  </si>
  <si>
    <t>Swift/BAT, AGILE and AstroSat CZTI</t>
  </si>
  <si>
    <t>43.10 ± 0.57 s (15–350 keV) — Swift/BAT refined.. (CZTI reports T90 ≈ 40–41 s in its bands.</t>
  </si>
  <si>
    <t>BAT time-avg spectrum PL Γ = 1.24 ± 0.02</t>
  </si>
  <si>
    <t>BAT 1-s peak: 29.6 ± 0.6 ph cm⁻² s⁻¹ (15–150 keV); BAT fluence: (4.4 ± 0.05)×10⁻⁵ erg cm⁻² (15–150 keV). CZTI: T90 ~40 s, peak times: 2022-04-30 13:53:58.52 UT and counts is 3131 (+109, -98) counts/s</t>
  </si>
  <si>
    <t>SNOVA, Makes-T60, HAO, MOSS</t>
  </si>
  <si>
    <t>T₀ + 0.56 h → T₀ + 6.33 h</t>
  </si>
  <si>
    <t>Yes — Swift/XRT</t>
  </si>
  <si>
    <t>https://ui.adsabs.harvard.edu/abs/2025ApJ...981..173A/abstract</t>
  </si>
  <si>
    <t>The paper is about X-ray data of crab nebula. This GRB was detected within 25 degree radius of crab nebula</t>
  </si>
  <si>
    <t>mag (B, R, G, r, u, g, i, z, y, H, rI, rU)</t>
  </si>
  <si>
    <t>https://vizier.cds.unistra.fr/viz-bin/VizieR-4?-c=097.61208%2b09.54753&amp;-c.rs=5&amp;-out.add=_r&amp;-sort=_r&amp;-out.max=$4</t>
  </si>
  <si>
    <t>Initial Gaia Source List (IGSL), Gaia-PS-1-SDSS, Guide Star Cat, SDSS, IPHAS DR2, Pan-STARRS, SDSS photometric Cat, IGAPS</t>
  </si>
  <si>
    <t>GRB220501A</t>
  </si>
  <si>
    <t>https://grandma-owncloud.ijclab.in2p3.fr/index.php/apps/files/?dir=/Candidates/GRB/GRB220501_1104842_SWIFT&amp;fileid=478047</t>
  </si>
  <si>
    <t>https://gcn.nasa.gov/circulars/events/grb-220501a?view=group&amp;query=220501A</t>
  </si>
  <si>
    <t>Swift/BAT and Fermi/GBM</t>
  </si>
  <si>
    <t>202.24 ± 20.60 s (15–350 keV) — Swift/BAT refined. (GBM reports ~51 s in 50–300 keV).</t>
  </si>
  <si>
    <t>Cutoff power law (BAT): photon index 0.64 ± 0.62, E_peak = 72.3 ± 28.6 keV. (Simple PL fit Γ = 1.54 ± 0.13.) GBM: cutoff PL, index −0.49 ± 0.18, E_peak = 114 ± 11 keV.</t>
  </si>
  <si>
    <t>BAT (15–150 keV): fluence (2.2 ± 0.2) × 10⁻⁶ erg cm⁻²; 1-s peak 1.2 ± 0.2 ph cm⁻² s⁻¹. GBM (10–1000 keV): fluence (3.53 ± 0.24) × 10⁻⁶ erg cm⁻²; 1-s peak 2.5 ± 0.2 ph cm⁻² s⁻¹.</t>
  </si>
  <si>
    <t>TJML 11″ Celestron</t>
  </si>
  <si>
    <t>T₀ + 0.48 h → T₀ + 0.65 h</t>
  </si>
  <si>
    <t>GRB220514A</t>
  </si>
  <si>
    <t>https://grandma-owncloud.ijclab.in2p3.fr/index.php/apps/files/?dir=/Candidates/GRB/GRB220514A_INTEGRAL&amp;fileid=483165</t>
  </si>
  <si>
    <t>https://gcn.nasa.gov/circulars/events/grb-220514a?view=group&amp;query=220514A</t>
  </si>
  <si>
    <t>Fermi/GBM; INTEGRAL/IBIS; AstroSat/CZTI; Swift/BAT-GUANO recovery outside coded FoV</t>
  </si>
  <si>
    <t>MeerLICHT; GRANDMA/TNT; CAHA/CAFOS; KAIT; MITSuME.</t>
  </si>
  <si>
    <t>≈ 66 s (GBM 50–300 keV); ≈ 54 s (CZTI 20–200 keV); CZTI 100–500 keV ≈ 29 s; ≈ 70 s (INTEGRAL 20–200 keV)</t>
  </si>
  <si>
    <t>Band spectrum (Eₚₑₐₖ ≈ 139 keV, α ≈ –1.25, β ≈ –1.9)</t>
  </si>
  <si>
    <t>1 s peak ≈ 16.6 ph cm⁻² s⁻¹ (10–1000 keV); fluence ≈ 3 × 10⁻⁵ erg cm⁻²</t>
  </si>
  <si>
    <t>YES</t>
  </si>
  <si>
    <t>TNT, MOSS, KNC-HAO, FRAM, CAHA/CAFOS, KNC-T21, AbAO-T70</t>
  </si>
  <si>
    <t>detections (TNT, MOSS, CAHA) + upper limits (others)</t>
  </si>
  <si>
    <t>T₀ + 1.6 h to ≈ 15 h</t>
  </si>
  <si>
    <t>https://www.aanda.org/articles/aa/pdf/2025/09/aa55228-25.pdf</t>
  </si>
  <si>
    <t>the calibration and performance of GECAM-B’s gamma-ray detectors — but it uses GRBs as calibration sources.</t>
  </si>
  <si>
    <r>
      <rPr/>
      <t xml:space="preserve">SDSS J095039.38+130959.4 - Quasar. VizieR: </t>
    </r>
    <r>
      <rPr>
        <color rgb="FF1155CC"/>
        <u/>
      </rPr>
      <t>https://vizier.cds.unistra.fr/viz-bin/VizieR-4?-c=147.664082%2b13.166517&amp;-c.rs=5&amp;-out.add=_r&amp;-sort=_r&amp;-out.max=$4</t>
    </r>
    <r>
      <rPr/>
      <t xml:space="preserve"> </t>
    </r>
  </si>
  <si>
    <t>Other grbs for which data exists in owncloud</t>
  </si>
  <si>
    <t>GRB221110A</t>
  </si>
  <si>
    <t>SP link exists but is very empty</t>
  </si>
  <si>
    <t>https://grandma-owncloud.ijclab.in2p3.fr/index.php/apps/files/?dir=/Candidates/GRB/GRB221110A_SWIFT&amp;fileid=762920</t>
  </si>
  <si>
    <t>https://gcn.nasa.gov/circulars/events/grb-221110a?view=group&amp;query=221110A</t>
  </si>
  <si>
    <t>−27.29519</t>
  </si>
  <si>
    <t>Swift-BAT</t>
  </si>
  <si>
    <t>UVOT; LCOGT 1-m; COATLI 0.5-m; SOAR; (GRANDMA/TCH)</t>
  </si>
  <si>
    <t>8.98 ± 2.11</t>
  </si>
  <si>
    <t>Power law index 1.41 ± 0.16; Fluence (15–150 keV band): (5.1 ± 0.5) × 10⁻⁷ erg cm⁻²</t>
  </si>
  <si>
    <t>1-s peak photon flux 1.1 ± 0.2 ph cm⁻² s⁻¹ (15–150 keV) at T+0.52 s</t>
  </si>
  <si>
    <t>TCH; SOAR; KNC-SSO; KAO; KNC-HAO; MOSS; VIRT</t>
  </si>
  <si>
    <t>Detections (TCH, SOAR); UL from others</t>
  </si>
  <si>
    <t>0.06–25.1 hr post-trigger</t>
  </si>
  <si>
    <t>Yes (Swift-XRT)</t>
  </si>
  <si>
    <t>Yes (Swift-UVOT)</t>
  </si>
  <si>
    <t>https://ui.adsabs.harvard.edu/abs/2025arXiv250113840A/abstract</t>
  </si>
  <si>
    <t>A neutrino paper that just mentions the grb redshift.</t>
  </si>
  <si>
    <t>GRB221028A</t>
  </si>
  <si>
    <t>2 images</t>
  </si>
  <si>
    <t>https://grandma-owncloud.ijclab.in2p3.fr/index.php/apps/files/?dir=/Candidates/GRB/GRB221028_1131910_SWIFT&amp;fileid=759602</t>
  </si>
  <si>
    <t>https://gcn.nasa.gov/circulars/events/grb-221028a?view=group&amp;query=221028A</t>
  </si>
  <si>
    <t>Swift-BAT; AGILE (MCAL/AC); VZLUSAT-2; INTEGRAL (SPI-ACS); Konus-Wind</t>
  </si>
  <si>
    <t>57.1 ± 15.0</t>
  </si>
  <si>
    <t>power-law index ≈1.37 ± 0.33</t>
  </si>
  <si>
    <t>1-s peak ≈0.8 ± 0.2 ph cm⁻² s⁻¹; fluence ≈1.51 ± 0.14 ×10⁻⁶ erg cm⁻² (both in 50–150 keV)</t>
  </si>
  <si>
    <t>MOSS; KNC-HAO</t>
  </si>
  <si>
    <t>5.43–5.88 hr post-trigger</t>
  </si>
  <si>
    <t>mag (i, z, FW1, FW2)</t>
  </si>
  <si>
    <t>https://vizier.cds.unistra.fr/viz-bin/VizieR-4?-c=314.20267%2b41.08981&amp;-c.rs=5&amp;-out.add=_r&amp;-sort=_r&amp;-out.max=$4</t>
  </si>
  <si>
    <t>Guide Star, Pan-STARRS, unWISE</t>
  </si>
  <si>
    <t>GRB221027B</t>
  </si>
  <si>
    <t>1 image</t>
  </si>
  <si>
    <t>https://grandma-owncloud.ijclab.in2p3.fr/index.php/apps/files/?dir=/Candidates/GRB/GRB221027_1131397_SWIFT&amp;fileid=759196</t>
  </si>
  <si>
    <t>https://gcn.nasa.gov/circulars/events/grb-221027b?view=group&amp;query=221027b</t>
  </si>
  <si>
    <t>None (ULs from UVOT, BOOTES-1, MASTER, BART-SBT/FRAM-ORM, COATLI)</t>
  </si>
  <si>
    <t>8.66 ± 1.10</t>
  </si>
  <si>
    <t xml:space="preserve"> Γ ≈ 2.39 ± 0.19</t>
  </si>
  <si>
    <t>1-s peak 3.4 ± 0.4 ph cm⁻² s⁻¹; fluence 5.8 ± 0.6 ×10⁻⁷ erg cm⁻² (15–150 keV)</t>
  </si>
  <si>
    <t>KNC-HAO</t>
  </si>
  <si>
    <t>23.55–24.05 hr post-trigger (15×120 s)</t>
  </si>
  <si>
    <t>GRB221024A</t>
  </si>
  <si>
    <t>https://grandma-owncloud.ijclab.in2p3.fr/index.php/apps/files/?dir=/Candidates/GRB/GRB221024_1131029_SWIFT&amp;fileid=755189</t>
  </si>
  <si>
    <t>https://gcn.nasa.gov/circulars/events/grb-221024a?view=group&amp;query=221024A</t>
  </si>
  <si>
    <t>Swift-BAT; Fermi/GBM</t>
  </si>
  <si>
    <t>D50 (Ondřejov 0.5 m), GROWTH-India Telescope (0.7 m), Mondy AZT-33IK (1.6 m)</t>
  </si>
  <si>
    <t>120 ± 111</t>
  </si>
  <si>
    <t xml:space="preserve"> Γ ≈ 1.39 ± 0.25</t>
  </si>
  <si>
    <t>1-s peak 1.5 ± 0.3 ph cm⁻² s⁻¹ at T+2.93 s; fluence 1.5 ± 0.2 ×10⁻⁶ erg cm⁻² (15–150 keV)</t>
  </si>
  <si>
    <t>Yes (r′ ≈ 18.36 at 9.1 h; 18.50 at 10 h; ~19.1 at 14.3 h; R ≈ 21.0 at 2.36 d)</t>
  </si>
  <si>
    <t>—</t>
  </si>
  <si>
    <t>KNC–NMSkies T21 (iTelescope), ps1/r</t>
  </si>
  <si>
    <t>22.11 h after trigger</t>
  </si>
  <si>
    <t>No (UV only; bright nearby star; UV upper limits)</t>
  </si>
  <si>
    <t>mag (r, b, W1, W2, g, z, FW1, FW2)</t>
  </si>
  <si>
    <t>https://vizier.cds.unistra.fr/viz-bin/VizieR-4?-c=169.74062%2b33.04200&amp;-c.rs=5&amp;-out.add=_r&amp;-sort=_r&amp;-out.max=$4</t>
  </si>
  <si>
    <t>APM-North, unWISE, CatWISE202, XGBoost</t>
  </si>
  <si>
    <t>GRB221009A</t>
  </si>
  <si>
    <t>This has lot of gcns. Ultra luminous GRB</t>
  </si>
  <si>
    <t>https://grandma-owncloud.ijclab.in2p3.fr/index.php/apps/files/?dir=/Candidates/GRB/GRB221009A_SWIFT&amp;fileid=729138</t>
  </si>
  <si>
    <t>https://gcn.nasa.gov/circulars/events/grb-221009a?view=group&amp;query=221009A</t>
  </si>
  <si>
    <t>2022-10-09 13:16:59 UT</t>
  </si>
  <si>
    <t>Fermi-GBM, Swift-BAT, Konus-Wind, INTEGRAL SPI-ACS, AGILE MCAL &amp; GRID, Solar Orbiter STIX</t>
  </si>
  <si>
    <t>AZT-33IK, MeerLICHT, REM, PRIME, LOAO, BGO, Lulin, Lick/Nickel, AZT-20, BOOTES-2/TELMA &amp; OSN (GRANDMA)</t>
  </si>
  <si>
    <t>≈ 327 s (GBM 10–1000 keV)</t>
  </si>
  <si>
    <t>Eₚ ≈ 975–1060 keV</t>
  </si>
  <si>
    <t>1.024 s peak ≈ 2385 ph cm⁻² s⁻¹ (GBM); Konus-Wind fluence ≈ 0.052 erg cm⁻² (20 keV–10 MeV)</t>
  </si>
  <si>
    <t>Yes – multi-band detections from minutes after burst (R ≈ 14.8 mag @ 11 min → r ≈ 18.6 mag @ 1 d)</t>
  </si>
  <si>
    <t>T-BRO, BGO, Astrolab IRIS, Ch-Perdrix, Ste-Sophie, HVO, SRO Auberry, Montarrenti, EHEA-WL, CO-K26, GPO, LCO-MDO, NMSkies, Atlas, Crous Gats – part of GRANDMA/Kilonova-Catcher</t>
  </si>
  <si>
    <t>Detections and ULs both reported – bright in I and R bands (~15.6–20.5 mag AB)</t>
  </si>
  <si>
    <t>6.3 h to 17.5 days after trigger</t>
  </si>
  <si>
    <t>Yes – LAT flux (100 MeV–1 GeV) 6.2×10⁻³ ph cm⁻² s⁻¹; Eₘₐₓ 99 GeV</t>
  </si>
  <si>
    <t>Yes – Swift-XRT Γ ≈ 1.84; N_H ≈ 6.8×10²¹ cm⁻²</t>
  </si>
  <si>
    <t>Yes – UVOT detected bright afterglow early</t>
  </si>
  <si>
    <t>Yes – AMI-LA 39 mJy @ 15.5 GHz; ATA 3–10 GHz 3.6–38 mJy</t>
  </si>
  <si>
    <t>https://www.nature.com/articles/s41598-024-69928-w</t>
  </si>
  <si>
    <t>Instrumental paper</t>
  </si>
  <si>
    <t>mag (K, r, i, z, y, H, G, BP, RP, FW1, FW2)</t>
  </si>
  <si>
    <t>https://vizier.cds.unistra.fr/viz-bin/VizieR-4?-c=288.26604%2b19.77297&amp;-c.rs=5&amp;-out.add=_r&amp;-sort=_r&amp;-out.max=$4</t>
  </si>
  <si>
    <t>Guide star catalog, UKIDSS-DR6, Pan-STARRS, unWISE, IGAPS, XMM, EXOD (XMM)</t>
  </si>
  <si>
    <r>
      <rPr/>
      <t xml:space="preserve">SN 2022xiw -- SuperNova. VizieR: </t>
    </r>
    <r>
      <rPr>
        <color rgb="FF1155CC"/>
        <u/>
      </rPr>
      <t>https://vizier.cds.unistra.fr/viz-bin/VizieR-4?-c=288.264592%2b19.773406&amp;-c.rs=5&amp;-out.add=_r&amp;-sort=_r&amp;-out.max=$4</t>
    </r>
  </si>
  <si>
    <t>https://iopscience.iop.org/collections/apjl-230323-172_Focus-on-the-Ultra-luminous-GRB-221009A</t>
  </si>
  <si>
    <t>Paper list link to other papers regarding this burst which are useful</t>
  </si>
  <si>
    <t>https://ui.adsabs.harvard.edu/abs/2024arXiv241018131N/abstract</t>
  </si>
  <si>
    <t>https://ui.adsabs.harvard.edu/abs/2025APh...16503062N/abstract</t>
  </si>
  <si>
    <t>https://ui.adsabs.harvard.edu/abs/2025PhRvD.112b3022K/abstract</t>
  </si>
  <si>
    <t>Red shift</t>
  </si>
  <si>
    <t>Distance to the center of galaxy (arcsec)</t>
  </si>
  <si>
    <t>Has_Vizier_data</t>
  </si>
  <si>
    <t>Has_galaxy_info</t>
  </si>
  <si>
    <t>Has_Quasar_info</t>
  </si>
  <si>
    <t>Category</t>
  </si>
  <si>
    <t>Nearest_extragalactic_distance_arcsec</t>
  </si>
  <si>
    <t>Priority</t>
  </si>
  <si>
    <t>Condition</t>
  </si>
  <si>
    <t>Count</t>
  </si>
  <si>
    <t>Y</t>
  </si>
  <si>
    <t>N</t>
  </si>
  <si>
    <t>Galaxy</t>
  </si>
  <si>
    <t>Any galaxy / cluster / group / BCG / Seyfert / radio galaxy</t>
  </si>
  <si>
    <t>No VizieR</t>
  </si>
  <si>
    <t>No galaxy but at least one quasar</t>
  </si>
  <si>
    <t>Quasar</t>
  </si>
  <si>
    <t>No galaxy/quasar, only pre-explosion catalog data from GRB position</t>
  </si>
  <si>
    <t>GRB-only</t>
  </si>
  <si>
    <t>No galaxy/quasar, but stars/X-ray/radio objects exist</t>
  </si>
  <si>
    <t>Other</t>
  </si>
  <si>
    <t>No Vizier data at all</t>
  </si>
  <si>
    <t>There is a SDSS J114702.58+294904.7 -- Quasar close by. VizieR link is of the Quasar.</t>
  </si>
  <si>
    <t>Points to some stars</t>
  </si>
  <si>
    <t>Points to some X-ray source</t>
  </si>
  <si>
    <t>1) https://vizier.cds.unistra.fr/viz-bin/VizieR-4?-c=345.8595967182900-00.2170208341900&amp;-c.rs=5&amp;-out.add=_r&amp;-sort=_r&amp;-out.max=$4                 2) https://vizier.cds.unistra.fr/viz-bin/VizieR-4?-c=345.8183761127200-00.2032108184300&amp;-c.rs=5&amp;-out.add=_r&amp;-sort=_r&amp;-out.max=$4</t>
  </si>
  <si>
    <t xml:space="preserve">points to 1) SDSS J230326.30-001301.2 -- Galaxy                          2)SDSS J230316.40-001211.5 -- Quasar                                         </t>
  </si>
  <si>
    <t>1) 89.83                  2) 66.86</t>
  </si>
  <si>
    <t>Nothing about GRB available on this position</t>
  </si>
  <si>
    <r>
      <rPr/>
      <t xml:space="preserve">1) [DSH86] K3 -- Part of a Galaxy at a distance of 18.44 arcsec from the coordinate. VizieR: </t>
    </r>
    <r>
      <rPr>
        <color rgb="FF1155CC"/>
        <u/>
      </rPr>
      <t>https://vizier.cds.unistra.fr/viz-bin/VizieR-4?-c=148.98754%2b69.68231&amp;-c.rs=5&amp;-out.add=_r&amp;-sort=_r&amp;-out.max=$4</t>
    </r>
    <r>
      <rPr/>
      <t xml:space="preserve">                  2. There are couple of SN remanants near by.</t>
    </r>
  </si>
  <si>
    <t>1) 18.44                           2) 19.65</t>
  </si>
  <si>
    <t>104.72 (radio source)</t>
  </si>
  <si>
    <t>The RA and Dec given on simbad table is: RA: 19:33:36.2.    Dec: 57:59:09. This is different from what is listed on column B and C from the GCN circulars.</t>
  </si>
  <si>
    <t>No vixier link</t>
  </si>
  <si>
    <r>
      <rPr/>
      <t xml:space="preserve">1) Coordinate points to a WISE J215139.02-563906.9  galaxy which is at a distance 3.28 arcsec from the coordinate. The VizieR link: </t>
    </r>
    <r>
      <rPr>
        <color rgb="FF1155CC"/>
        <u/>
      </rPr>
      <t>https://vizier.cds.unistra.fr/viz-bin/VizieR-4?-c=327.9126532900538-56.6519543183511&amp;-c.rs=5&amp;-out.add=_r&amp;-sort=_r&amp;-out.max=$4</t>
    </r>
    <r>
      <rPr/>
      <t xml:space="preserve">                2. There is also WISE J215127.24-563800.0 -- Galaxy at a distance of 115.42. VizieR: </t>
    </r>
    <r>
      <rPr>
        <color rgb="FF1155CC"/>
        <u/>
      </rPr>
      <t>https://vizier.cds.unistra.fr/viz-bin/VizieR-4?-c=327.8635522367491-56.6333715323394&amp;-c.rs=5&amp;-out.add=_r&amp;-sort=_r&amp;-out.max=$4</t>
    </r>
    <r>
      <rPr/>
      <t xml:space="preserve">                3. APMCC 719 -- Cluster of Galaxies at distance of 101.88 arcsec. VizieR: </t>
    </r>
    <r>
      <rPr>
        <color rgb="FF1155CC"/>
        <u/>
      </rPr>
      <t>https://vizier.cds.unistra.fr/viz-bin/VizieR-4?-c=327.8621-56.6608&amp;-c.rs=5&amp;-out.add=_r&amp;-sort=_r&amp;-out.max=$4</t>
    </r>
    <r>
      <rPr/>
      <t xml:space="preserve"> </t>
    </r>
  </si>
  <si>
    <t>1) 3.28                           2) 115.42                         3) 101.88</t>
  </si>
  <si>
    <r>
      <rPr/>
      <t xml:space="preserve">1. This coordinate also gives a link to "group of galaxies" [DCA2018] 412257. The VizieR link has only 1 R mag value: </t>
    </r>
    <r>
      <rPr>
        <color rgb="FF1155CC"/>
        <u/>
      </rPr>
      <t>https://vizier.cds.unistra.fr/viz-bin/VizieR-4?-c=218.21484%2b61.27079&amp;-c.rs=5&amp;-out.add=_r&amp;-sort=_r&amp;-out.max=$4</t>
    </r>
    <r>
      <rPr/>
      <t xml:space="preserve">                      2. Also, shows 2MASX J14325319+6115599 -- Seyfert 2 Galaxy. This has plenty of data in Vizier: </t>
    </r>
    <r>
      <rPr>
        <color rgb="FF1155CC"/>
        <u/>
      </rPr>
      <t>https://vizier.cds.unistra.fr/viz-bin/VizieR-4?-c=218.221662%2b61.266664&amp;-c.rs=5&amp;-out.add=_r&amp;-sort=_r&amp;-out.max=$4</t>
    </r>
    <r>
      <rPr/>
      <t xml:space="preserve">                               3. SDSS J143247.87+611818.5 -- Quasar. VizieR: </t>
    </r>
    <r>
      <rPr>
        <color rgb="FF1155CC"/>
        <u/>
      </rPr>
      <t>https://vizier.cds.unistra.fr/viz-bin/VizieR-4?-c=218.1994999053400%2b61.3051612313200&amp;-c.rs=5&amp;-out.add=_r&amp;-sort=_r&amp;-out.max=$4</t>
    </r>
    <r>
      <rPr/>
      <t xml:space="preserve"> </t>
    </r>
  </si>
  <si>
    <t xml:space="preserve">1) 88.50                                       2) 101.96                                      3) 56.34                                 </t>
  </si>
  <si>
    <t>GRB 220319A distance in the table is 1.49, with RA: 14:32:53.86, Dec: 61:17:43.3</t>
  </si>
  <si>
    <t>RA and Dec in simbad is 17:57:57.00 -07:02:09.3</t>
  </si>
  <si>
    <t>GRB220404A (triggered but didn't follow up; too close to sun)</t>
  </si>
  <si>
    <t>GRB 220319A distance in the table is 1.76, with RA: 03:21:39, Dec: 10:00:03.4</t>
  </si>
  <si>
    <r>
      <rPr/>
      <t xml:space="preserve">1. Points to Cluster of Galaxies [SPD2011] 57955. There are bit of data in VizieR: </t>
    </r>
    <r>
      <rPr>
        <color rgb="FF1155CC"/>
        <u/>
      </rPr>
      <t>https://vizier.cds.unistra.fr/viz-bin/VizieR-4?-c=123.9708%2b30.3433&amp;-c.rs=5&amp;-out.add=_r&amp;-sort=_r&amp;-out.max=$4</t>
    </r>
    <r>
      <rPr/>
      <t xml:space="preserve">.                          2. SDSS J081553.00+302035.8 -- Brightest Galaxy in a Cluster (BCG). VizIeR: </t>
    </r>
    <r>
      <rPr>
        <color rgb="FF1155CC"/>
        <u/>
      </rPr>
      <t>https://vizier.cds.unistra.fr/viz-bin/VizieR-4?-c=123.97085229%2b30.34328339&amp;-c.rs=5&amp;-out.add=_r&amp;-sort=_r&amp;-out.max=$4</t>
    </r>
    <r>
      <rPr/>
      <t xml:space="preserve">                        3. FIRST J081552.9+302036 -- Radio Galaxy. VizieR: </t>
    </r>
    <r>
      <rPr>
        <color rgb="FF1155CC"/>
        <u/>
      </rPr>
      <t>https://vizier.cds.unistra.fr/viz-bin/VizieR-4?-c=123.970817%2b30.343497&amp;-c.rs=5&amp;-out.add=_r&amp;-sort=_r&amp;-out.max=$4</t>
    </r>
    <r>
      <rPr/>
      <t xml:space="preserve">                              4. SDSS J081558.76+302106.0 -- Brightest Galaxy in a Cluster (BCG). VizieR: </t>
    </r>
    <r>
      <rPr>
        <color rgb="FF1155CC"/>
        <u/>
      </rPr>
      <t>https://vizier.cds.unistra.fr/viz-bin/VizieR-4?-c=123.994840%2b30.351687&amp;-c.rs=5&amp;-out.add=_r&amp;-sort=_r&amp;-out.max=$4</t>
    </r>
    <r>
      <rPr/>
      <t xml:space="preserve">                                     5. SDSS J081556.71+301917.9 -- Brightest Galaxy in a Cluster (BCG). Vizier: </t>
    </r>
    <r>
      <rPr>
        <color rgb="FF1155CC"/>
        <u/>
      </rPr>
      <t>https://vizier.cds.unistra.fr/viz-bin/VizieR-4?-c=123.986313%2b30.321664&amp;-c.rs=5&amp;-out.add=_r&amp;-sort=_r&amp;-out.max=$4</t>
    </r>
    <r>
      <rPr/>
      <t xml:space="preserve">                          6. SDSS J081555.03+301903.6 -- Quasar. VizieR: </t>
    </r>
    <r>
      <rPr>
        <color rgb="FF1155CC"/>
        <u/>
      </rPr>
      <t>https://vizier.cds.unistra.fr/viz-bin/VizieR-4?-c=123.979299%2b30.317668&amp;-c.rs=5&amp;-out.add=_r&amp;-sort=_r&amp;-out.max=$4</t>
    </r>
    <r>
      <rPr/>
      <t xml:space="preserve"> </t>
    </r>
  </si>
  <si>
    <t>1) 8.81                2) 8.95            3) 9.09          4) 89.33              5) 94.27          6) 96.27</t>
  </si>
  <si>
    <t>GRB distance: 1.16 arcsec with RA: 08:15:52.35 and Dec: 30:20:34.5 in Simbad</t>
  </si>
  <si>
    <t>GRB220412B (triggered but didn't follow up; too close to sun)</t>
  </si>
  <si>
    <r>
      <rPr/>
      <t xml:space="preserve">1)  WiggleZ R22J212302678-00164517 -- Galaxy. Vizier: </t>
    </r>
    <r>
      <rPr>
        <color rgb="FF1155CC"/>
        <u/>
      </rPr>
      <t>https://vizier.cds.unistra.fr/viz-bin/VizieR-4?-c=320.7611651-00.2792510&amp;-c.rs=5&amp;-out.add=_r&amp;-sort=_r&amp;-out.max=$4</t>
    </r>
    <r>
      <rPr/>
      <t xml:space="preserve">          2) SDSS J212301.43-001428.4 -- Quasar. Vizier: </t>
    </r>
    <r>
      <rPr>
        <color rgb="FF1155CC"/>
        <u/>
      </rPr>
      <t>https://vizier.cds.unistra.fr/viz-bin/VizieR-4?-c=320.755973-00.241246&amp;-c.rs=5&amp;-out.add=_r&amp;-sort=_r&amp;-out.max=$4</t>
    </r>
    <r>
      <rPr/>
      <t xml:space="preserve">      3) WiggleZ R22J212307896-00165420 -- Galaxy. Vizier: </t>
    </r>
    <r>
      <rPr>
        <color rgb="FF1155CC"/>
        <u/>
      </rPr>
      <t>https://vizier.cds.unistra.fr/viz-bin/VizieR-4?-c=320.7829091-00.2817610&amp;-c.rs=5&amp;-out.add=_r&amp;-sort=_r&amp;-out.max=$4</t>
    </r>
    <r>
      <rPr/>
      <t xml:space="preserve"> </t>
    </r>
  </si>
  <si>
    <t>1) 66.67                2) 71.51            3) 116.74</t>
  </si>
  <si>
    <t>GRB distance: 1.19 arcsec with RA: 18:23:33.20 and Dec: -56:15:18.4 in Simbad</t>
  </si>
  <si>
    <t>GRB distance: 0.33 arcsec with RA: 06:30:26.90 and Dec: 09:32:51.1 in Simbad</t>
  </si>
  <si>
    <t>No data available on this position in vizier link</t>
  </si>
  <si>
    <t>https://vizier.cds.unistra.fr/viz-bin/VizieR-4?-c=147.6670%2b13.1472&amp;-c.rs=5&amp;-out.add=_r&amp;-sort=_r&amp;-out.max=$4</t>
  </si>
  <si>
    <r>
      <rPr/>
      <t xml:space="preserve">SDSS J095039.38+130959.4 - Quasar. VizieR: </t>
    </r>
    <r>
      <rPr>
        <color rgb="FF1155CC"/>
        <u/>
      </rPr>
      <t>https://vizier.cds.unistra.fr/viz-bin/VizieR-4?-c=147.664082%2b13.166517&amp;-c.rs=5&amp;-out.add=_r&amp;-sort=_r&amp;-out.max=$4</t>
    </r>
    <r>
      <rPr/>
      <t xml:space="preserve"> </t>
    </r>
  </si>
  <si>
    <t>Quasar is 70.29 distance</t>
  </si>
  <si>
    <t>https://vizier.cds.unistra.fr/viz-bin/VizieR-4?-c=029.09921-27.29569&amp;-c.rs=5&amp;-out.add=_r&amp;-sort=_r&amp;-out.max=$4</t>
  </si>
  <si>
    <t>GRB distance: 0.08 arcsec with RA: 20:56:48.64 and Dec: 41:05:23.3 in Simbad</t>
  </si>
  <si>
    <t>GRB distance: 0.03 arcsec with RA: 11:18:57.75 and Dec: 33:02:31.2 in Simbad</t>
  </si>
  <si>
    <r>
      <rPr/>
      <t xml:space="preserve">SN 2022xiw -- SuperNova. VizieR: </t>
    </r>
    <r>
      <rPr>
        <color rgb="FF1155CC"/>
        <u/>
      </rPr>
      <t>https://vizier.cds.unistra.fr/viz-bin/VizieR-4?-c=288.264592%2b19.773406&amp;-c.rs=5&amp;-out.add=_r&amp;-sort=_r&amp;-out.max=$4</t>
    </r>
  </si>
  <si>
    <t>SN distance: 2.55</t>
  </si>
  <si>
    <t>GRB distance: 5.11 arcsec with RA: 19:13:03.85 and Dec: 19:46:22.7 in Simbad</t>
  </si>
  <si>
    <t>Total GRBs</t>
  </si>
  <si>
    <t>GRB Red shift</t>
  </si>
  <si>
    <t>Vizier data for grb</t>
  </si>
  <si>
    <t>Galaxy/Quasar info</t>
  </si>
  <si>
    <t>Long/Short GRB</t>
  </si>
  <si>
    <t>Probability ~ r^2</t>
  </si>
  <si>
    <t>Galaxy Redshift?</t>
  </si>
  <si>
    <t>galaxy radial velocity?</t>
  </si>
  <si>
    <t>SDSS J110623.53-150801.1 galaxy.</t>
  </si>
  <si>
    <t>LEDA 1673976 galaxy</t>
  </si>
  <si>
    <t>check gaia?</t>
  </si>
  <si>
    <t>Yes (quasar)</t>
  </si>
  <si>
    <t>SDSS J114702.58+294904.7 -- Quasar.</t>
  </si>
  <si>
    <t>LCRS B023204.0-381850 galaxy</t>
  </si>
  <si>
    <t xml:space="preserve">LEDA 885418 galaxy </t>
  </si>
  <si>
    <t xml:space="preserve">SDSS J230326.30-001301.2 -- Galaxy                          </t>
  </si>
  <si>
    <t xml:space="preserve">SDSS J230316.40-001211.5 -- Quasar                                         </t>
  </si>
  <si>
    <t xml:space="preserve"> [DSH86] K3 -- Part of a Galaxy             </t>
  </si>
  <si>
    <t>LEDA 636028 Galaxy</t>
  </si>
  <si>
    <t>A radio galaxy NVSS J081832+340049</t>
  </si>
  <si>
    <t>LEDA 1647887 galaxy</t>
  </si>
  <si>
    <t xml:space="preserve">WISE J215139.02-563906.9  galaxy       </t>
  </si>
  <si>
    <t xml:space="preserve">    WISE J215127.24-563800.0 -- Galaxy    </t>
  </si>
  <si>
    <t xml:space="preserve">  APMCC 719 - Galaxy</t>
  </si>
  <si>
    <t xml:space="preserve">"Group of galaxies" [DCA2018] 412257.  </t>
  </si>
  <si>
    <t xml:space="preserve">2MASX J14325319+6115599 -- Seyfert 2 Galaxy.                                 </t>
  </si>
  <si>
    <t xml:space="preserve">SDSS J143247.87+611818.5 -- Quasar. </t>
  </si>
  <si>
    <t xml:space="preserve">Cluster of Galaxies [SPD2011] 57955.                                   </t>
  </si>
  <si>
    <t xml:space="preserve">SDSS J081553.00+302035.8 -- Brightest Galaxy in a Cluster (BCG).               </t>
  </si>
  <si>
    <t xml:space="preserve"> FIRST J081552.9+302036 -- Radio Galaxy.                                                                              </t>
  </si>
  <si>
    <t xml:space="preserve">SDSS J081558.76+302106.0 -- Brightest Galaxy in a Cluster (BCG).                        </t>
  </si>
  <si>
    <t xml:space="preserve">SDSS J081556.71+301917.9 -- Brightest Galaxy in a Cluster (BCG).                                          </t>
  </si>
  <si>
    <t xml:space="preserve">SDSS J081555.03+301903.6 -- Quasar. </t>
  </si>
  <si>
    <t xml:space="preserve">WiggleZ R22J212302678-00164517 -- Galaxy.                                                        </t>
  </si>
  <si>
    <t xml:space="preserve">SDSS J212301.43-001428.4 -- Quasar.       </t>
  </si>
  <si>
    <t>WiggleZ R22J212307896-00165420 -- Galaxy.</t>
  </si>
  <si>
    <t>Yes (Quasar)</t>
  </si>
  <si>
    <t>SDSS J095039.38+130959.4 - Quasar</t>
  </si>
  <si>
    <t>There is an X-ray source.</t>
  </si>
  <si>
    <t xml:space="preserve">SN 2022xiw -- SuperNova. </t>
  </si>
  <si>
    <t xml:space="preserve">EP-FXT found uncatalogues X-ray source.                                                                                           </t>
  </si>
  <si>
    <t xml:space="preserve">                Simbad gives a radio source NVSS J043143+425935 near by the coordinate.</t>
  </si>
  <si>
    <t>There are couple of SN remanants near by.</t>
  </si>
  <si>
    <t>Cumulative_N</t>
  </si>
  <si>
    <t>Long</t>
  </si>
  <si>
    <t>Short</t>
  </si>
  <si>
    <t>less than 2 sec - short</t>
  </si>
  <si>
    <t>greater than 2 sec - long</t>
  </si>
  <si>
    <t>Step 1: Compute r²</t>
  </si>
  <si>
    <t>Step 2: Keep only nearest extragalactic object per GRB</t>
  </si>
  <si>
    <t>Step 3: Sort distances ascending</t>
  </si>
  <si>
    <t>cumulative N</t>
  </si>
  <si>
    <t>Galaxy/Quasar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</si>
</sst>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7">
    <font>
      <sz val="10.0"/>
      <color rgb="FF000000"/>
      <name val="Arial"/>
      <scheme val="minor"/>
    </font>
    <font>
      <sz val="10.0"/>
      <color rgb="FF1D1C1D"/>
      <name val="Arial"/>
    </font>
    <font>
      <color theme="1"/>
      <name val="Arial"/>
      <scheme val="minor"/>
    </font>
    <font>
      <sz val="10.0"/>
      <color rgb="FF1D1C1D"/>
      <name val="Monaco"/>
    </font>
    <font>
      <u/>
      <color rgb="FF0000FF"/>
    </font>
    <font>
      <u/>
      <color rgb="FF0000FF"/>
    </font>
    <font>
      <color rgb="FF1B1B1B"/>
      <name val="Arial"/>
    </font>
    <font>
      <sz val="10.0"/>
      <color rgb="FF000000"/>
      <name val="Arial"/>
    </font>
    <font>
      <sz val="10.0"/>
      <color rgb="FF2A2A2A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sz val="12.0"/>
      <color rgb="FF000000"/>
      <name val="Roboto"/>
    </font>
    <font>
      <color rgb="FF000000"/>
      <name val="Arial"/>
      <scheme val="minor"/>
    </font>
    <font>
      <u/>
      <color rgb="FF1155CC"/>
      <name val="Arial"/>
    </font>
    <font>
      <color rgb="FF000000"/>
      <name val="Inherit"/>
    </font>
    <font>
      <u/>
      <color rgb="FF0000FF"/>
    </font>
    <font>
      <u/>
      <color rgb="FF0000FF"/>
    </font>
    <font>
      <u/>
      <color rgb="FF1155CC"/>
      <name val="Arial"/>
    </font>
    <font>
      <color rgb="FF1B1B1B"/>
      <name val="Monospace"/>
    </font>
    <font>
      <sz val="12.0"/>
      <color rgb="FF2A2A2A"/>
      <name val="Arial"/>
    </font>
    <font>
      <u/>
      <color rgb="FF0000FF"/>
      <name val="Arial"/>
    </font>
    <font>
      <color theme="1"/>
      <name val="Arial"/>
    </font>
    <font>
      <b/>
      <color rgb="FF457B9D"/>
      <name val="Roboto"/>
    </font>
    <font>
      <color rgb="FF000000"/>
      <name val="Roboto"/>
    </font>
    <font>
      <sz val="12.0"/>
      <color rgb="FF1B1B1B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Roboto"/>
    </font>
    <font>
      <u/>
      <color rgb="FF0000FF"/>
    </font>
    <font>
      <sz val="12.0"/>
      <color rgb="FF1B1B1B"/>
      <name val="&quot;Source Sans Pro Web&quot;"/>
    </font>
    <font>
      <sz val="12.0"/>
      <color rgb="FF000000"/>
      <name val="Arial"/>
      <scheme val="minor"/>
    </font>
    <font>
      <b/>
      <color theme="1"/>
      <name val="&quot;Times New Roman&quot;"/>
    </font>
    <font>
      <u/>
      <color rgb="FF0000FF"/>
    </font>
    <font>
      <b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</font>
    <font>
      <u/>
      <color rgb="FF0000FF"/>
    </font>
    <font>
      <u/>
      <color rgb="FF0000FF"/>
    </font>
    <font>
      <color rgb="FF0000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0F2F5"/>
        <bgColor rgb="FFF0F2F5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1" fillId="3" fontId="4" numFmtId="0" xfId="0" applyAlignment="1" applyBorder="1" applyFill="1" applyFont="1">
      <alignment readingOrder="0"/>
    </xf>
    <xf borderId="1" fillId="3" fontId="5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1" fillId="3" fontId="7" numFmtId="0" xfId="0" applyAlignment="1" applyBorder="1" applyFont="1">
      <alignment readingOrder="0" shrinkToFit="0" wrapText="1"/>
    </xf>
    <xf borderId="0" fillId="3" fontId="8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4" fontId="10" numFmtId="0" xfId="0" applyAlignment="1" applyBorder="1" applyFill="1" applyFont="1">
      <alignment readingOrder="0" vertical="bottom"/>
    </xf>
    <xf borderId="1" fillId="4" fontId="11" numFmtId="0" xfId="0" applyAlignment="1" applyBorder="1" applyFont="1">
      <alignment vertical="bottom"/>
    </xf>
    <xf borderId="1" fillId="4" fontId="2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4" fontId="2" numFmtId="0" xfId="0" applyAlignment="1" applyBorder="1" applyFont="1">
      <alignment readingOrder="0"/>
    </xf>
    <xf borderId="1" fillId="5" fontId="12" numFmtId="0" xfId="0" applyAlignment="1" applyBorder="1" applyFill="1" applyFont="1">
      <alignment readingOrder="0" vertical="bottom"/>
    </xf>
    <xf borderId="1" fillId="5" fontId="13" numFmtId="0" xfId="0" applyAlignment="1" applyBorder="1" applyFont="1">
      <alignment vertical="bottom"/>
    </xf>
    <xf borderId="0" fillId="6" fontId="14" numFmtId="0" xfId="0" applyAlignment="1" applyFill="1" applyFont="1">
      <alignment readingOrder="0"/>
    </xf>
    <xf borderId="1" fillId="5" fontId="15" numFmtId="0" xfId="0" applyAlignment="1" applyBorder="1" applyFont="1">
      <alignment readingOrder="0"/>
    </xf>
    <xf borderId="1" fillId="3" fontId="16" numFmtId="0" xfId="0" applyAlignment="1" applyBorder="1" applyFont="1">
      <alignment vertical="bottom"/>
    </xf>
    <xf borderId="1" fillId="3" fontId="15" numFmtId="0" xfId="0" applyAlignment="1" applyBorder="1" applyFont="1">
      <alignment readingOrder="0" shrinkToFit="0" wrapText="1"/>
    </xf>
    <xf borderId="0" fillId="3" fontId="14" numFmtId="0" xfId="0" applyAlignment="1" applyFont="1">
      <alignment readingOrder="0"/>
    </xf>
    <xf borderId="1" fillId="3" fontId="17" numFmtId="0" xfId="0" applyAlignment="1" applyBorder="1" applyFont="1">
      <alignment horizontal="right" readingOrder="0" shrinkToFit="0" wrapText="1"/>
    </xf>
    <xf borderId="1" fillId="3" fontId="15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18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0" fillId="3" fontId="2" numFmtId="0" xfId="0" applyFont="1"/>
    <xf borderId="1" fillId="4" fontId="15" numFmtId="0" xfId="0" applyAlignment="1" applyBorder="1" applyFont="1">
      <alignment readingOrder="0" shrinkToFit="0" wrapText="1"/>
    </xf>
    <xf borderId="1" fillId="0" fontId="19" numFmtId="0" xfId="0" applyAlignment="1" applyBorder="1" applyFont="1">
      <alignment readingOrder="0" shrinkToFit="0" wrapText="1"/>
    </xf>
    <xf borderId="1" fillId="4" fontId="15" numFmtId="0" xfId="0" applyAlignment="1" applyBorder="1" applyFont="1">
      <alignment readingOrder="0"/>
    </xf>
    <xf borderId="1" fillId="0" fontId="20" numFmtId="0" xfId="0" applyAlignment="1" applyBorder="1" applyFont="1">
      <alignment vertical="bottom"/>
    </xf>
    <xf borderId="1" fillId="0" fontId="15" numFmtId="0" xfId="0" applyAlignment="1" applyBorder="1" applyFont="1">
      <alignment readingOrder="0" shrinkToFit="0" wrapText="1"/>
    </xf>
    <xf borderId="0" fillId="0" fontId="21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0" fillId="7" fontId="22" numFmtId="0" xfId="0" applyAlignment="1" applyFill="1" applyFont="1">
      <alignment readingOrder="0"/>
    </xf>
    <xf borderId="1" fillId="3" fontId="23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shrinkToFit="0" wrapText="1"/>
    </xf>
    <xf borderId="0" fillId="3" fontId="6" numFmtId="21" xfId="0" applyAlignment="1" applyFont="1" applyNumberFormat="1">
      <alignment readingOrder="0"/>
    </xf>
    <xf borderId="0" fillId="3" fontId="14" numFmtId="46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1" fillId="3" fontId="21" numFmtId="0" xfId="0" applyAlignment="1" applyBorder="1" applyFont="1">
      <alignment readingOrder="0"/>
    </xf>
    <xf borderId="0" fillId="3" fontId="21" numFmtId="0" xfId="0" applyAlignment="1" applyFont="1">
      <alignment readingOrder="0"/>
    </xf>
    <xf borderId="0" fillId="3" fontId="22" numFmtId="0" xfId="0" applyAlignment="1" applyFont="1">
      <alignment readingOrder="0"/>
    </xf>
    <xf borderId="1" fillId="4" fontId="24" numFmtId="0" xfId="0" applyAlignment="1" applyBorder="1" applyFont="1">
      <alignment readingOrder="0" vertical="bottom"/>
    </xf>
    <xf borderId="1" fillId="3" fontId="25" numFmtId="0" xfId="0" applyAlignment="1" applyBorder="1" applyFont="1">
      <alignment readingOrder="0" shrinkToFit="0" vertical="bottom" wrapText="1"/>
    </xf>
    <xf borderId="0" fillId="0" fontId="26" numFmtId="0" xfId="0" applyAlignment="1" applyFont="1">
      <alignment readingOrder="0" shrinkToFit="0" vertical="bottom" wrapText="1"/>
    </xf>
    <xf borderId="0" fillId="7" fontId="27" numFmtId="0" xfId="0" applyAlignment="1" applyFont="1">
      <alignment readingOrder="0"/>
    </xf>
    <xf borderId="1" fillId="0" fontId="2" numFmtId="21" xfId="0" applyAlignment="1" applyBorder="1" applyFont="1" applyNumberFormat="1">
      <alignment readingOrder="0" shrinkToFit="0" wrapText="1"/>
    </xf>
    <xf borderId="1" fillId="0" fontId="2" numFmtId="46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1" fillId="3" fontId="28" numFmtId="0" xfId="0" applyAlignment="1" applyBorder="1" applyFont="1">
      <alignment readingOrder="0" shrinkToFit="0" vertical="bottom" wrapText="1"/>
    </xf>
    <xf borderId="0" fillId="3" fontId="2" numFmtId="0" xfId="0" applyAlignment="1" applyFont="1">
      <alignment shrinkToFit="0" wrapText="1"/>
    </xf>
    <xf borderId="2" fillId="3" fontId="29" numFmtId="0" xfId="0" applyAlignment="1" applyBorder="1" applyFont="1">
      <alignment readingOrder="0" shrinkToFit="0" wrapText="1"/>
    </xf>
    <xf borderId="3" fillId="3" fontId="2" numFmtId="0" xfId="0" applyAlignment="1" applyBorder="1" applyFont="1">
      <alignment shrinkToFit="0" wrapText="1"/>
    </xf>
    <xf borderId="0" fillId="3" fontId="21" numFmtId="21" xfId="0" applyAlignment="1" applyFont="1" applyNumberFormat="1">
      <alignment readingOrder="0"/>
    </xf>
    <xf borderId="0" fillId="3" fontId="21" numFmtId="46" xfId="0" applyAlignment="1" applyFont="1" applyNumberFormat="1">
      <alignment readingOrder="0"/>
    </xf>
    <xf borderId="4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0" numFmtId="0" xfId="0" applyAlignment="1" applyFont="1">
      <alignment readingOrder="0" shrinkToFit="0" wrapText="1"/>
    </xf>
    <xf borderId="0" fillId="0" fontId="31" numFmtId="0" xfId="0" applyAlignment="1" applyFont="1">
      <alignment readingOrder="0" shrinkToFit="0" wrapText="1"/>
    </xf>
    <xf borderId="0" fillId="6" fontId="32" numFmtId="0" xfId="0" applyAlignment="1" applyFont="1">
      <alignment readingOrder="0"/>
    </xf>
    <xf borderId="0" fillId="7" fontId="27" numFmtId="0" xfId="0" applyAlignment="1" applyFont="1">
      <alignment readingOrder="0" shrinkToFit="0" wrapText="1"/>
    </xf>
    <xf borderId="0" fillId="0" fontId="21" numFmtId="0" xfId="0" applyAlignment="1" applyFont="1">
      <alignment readingOrder="0" shrinkToFit="0" wrapText="1"/>
    </xf>
    <xf borderId="1" fillId="8" fontId="2" numFmtId="0" xfId="0" applyAlignment="1" applyBorder="1" applyFill="1" applyFont="1">
      <alignment readingOrder="0" shrinkToFit="0" wrapText="1"/>
    </xf>
    <xf borderId="0" fillId="8" fontId="33" numFmtId="0" xfId="0" applyAlignment="1" applyFont="1">
      <alignment readingOrder="0" shrinkToFit="0" wrapText="1"/>
    </xf>
    <xf borderId="0" fillId="7" fontId="34" numFmtId="0" xfId="0" applyAlignment="1" applyFont="1">
      <alignment readingOrder="0" shrinkToFit="0" wrapText="1"/>
    </xf>
    <xf borderId="0" fillId="7" fontId="34" numFmtId="0" xfId="0" applyAlignment="1" applyFont="1">
      <alignment readingOrder="0"/>
    </xf>
    <xf borderId="0" fillId="7" fontId="35" numFmtId="0" xfId="0" applyAlignment="1" applyFont="1">
      <alignment horizontal="left" readingOrder="0" shrinkToFit="0" wrapText="1"/>
    </xf>
    <xf borderId="0" fillId="0" fontId="21" numFmtId="164" xfId="0" applyAlignment="1" applyFont="1" applyNumberFormat="1">
      <alignment readingOrder="0"/>
    </xf>
    <xf borderId="1" fillId="0" fontId="24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0" fontId="2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1" fillId="0" fontId="21" numFmtId="0" xfId="0" applyAlignment="1" applyBorder="1" applyFont="1">
      <alignment shrinkToFit="0" wrapText="1"/>
    </xf>
    <xf borderId="1" fillId="0" fontId="36" numFmtId="0" xfId="0" applyAlignment="1" applyBorder="1" applyFont="1">
      <alignment readingOrder="0"/>
    </xf>
    <xf borderId="1" fillId="3" fontId="2" numFmtId="0" xfId="0" applyBorder="1" applyFont="1"/>
    <xf borderId="1" fillId="3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3" fontId="37" numFmtId="0" xfId="0" applyAlignment="1" applyFont="1">
      <alignment readingOrder="0" shrinkToFit="0" wrapText="1"/>
    </xf>
    <xf borderId="1" fillId="9" fontId="38" numFmtId="0" xfId="0" applyAlignment="1" applyBorder="1" applyFill="1" applyFont="1">
      <alignment horizontal="center" readingOrder="0"/>
    </xf>
    <xf borderId="1" fillId="9" fontId="38" numFmtId="0" xfId="0" applyAlignment="1" applyBorder="1" applyFont="1">
      <alignment readingOrder="0"/>
    </xf>
    <xf borderId="0" fillId="3" fontId="8" numFmtId="0" xfId="0" applyAlignment="1" applyFont="1">
      <alignment readingOrder="0" shrinkToFit="0" wrapText="1"/>
    </xf>
    <xf borderId="0" fillId="0" fontId="2" numFmtId="0" xfId="0" applyFont="1"/>
    <xf borderId="1" fillId="9" fontId="2" numFmtId="0" xfId="0" applyAlignment="1" applyBorder="1" applyFont="1">
      <alignment readingOrder="0"/>
    </xf>
    <xf borderId="1" fillId="9" fontId="2" numFmtId="0" xfId="0" applyAlignment="1" applyBorder="1" applyFont="1">
      <alignment readingOrder="0" shrinkToFit="0" wrapText="1"/>
    </xf>
    <xf borderId="1" fillId="9" fontId="2" numFmtId="0" xfId="0" applyBorder="1" applyFont="1"/>
    <xf borderId="1" fillId="4" fontId="39" numFmtId="0" xfId="0" applyAlignment="1" applyBorder="1" applyFont="1">
      <alignment shrinkToFit="0" vertical="bottom" wrapText="1"/>
    </xf>
    <xf borderId="1" fillId="5" fontId="40" numFmtId="0" xfId="0" applyAlignment="1" applyBorder="1" applyFont="1">
      <alignment shrinkToFit="0" vertical="bottom" wrapText="1"/>
    </xf>
    <xf borderId="0" fillId="6" fontId="14" numFmtId="0" xfId="0" applyAlignment="1" applyFont="1">
      <alignment readingOrder="0" shrinkToFit="0" wrapText="1"/>
    </xf>
    <xf borderId="1" fillId="3" fontId="41" numFmtId="0" xfId="0" applyAlignment="1" applyBorder="1" applyFont="1">
      <alignment shrinkToFit="0" vertical="bottom" wrapText="1"/>
    </xf>
    <xf borderId="0" fillId="3" fontId="14" numFmtId="0" xfId="0" applyAlignment="1" applyFont="1">
      <alignment readingOrder="0" shrinkToFit="0" wrapText="1"/>
    </xf>
    <xf borderId="1" fillId="0" fontId="42" numFmtId="0" xfId="0" applyAlignment="1" applyBorder="1" applyFont="1">
      <alignment shrinkToFit="0" vertical="bottom" wrapText="1"/>
    </xf>
    <xf borderId="0" fillId="3" fontId="6" numFmtId="21" xfId="0" applyAlignment="1" applyFont="1" applyNumberFormat="1">
      <alignment readingOrder="0" shrinkToFit="0" wrapText="1"/>
    </xf>
    <xf borderId="0" fillId="3" fontId="14" numFmtId="46" xfId="0" applyAlignment="1" applyFont="1" applyNumberFormat="1">
      <alignment readingOrder="0" shrinkToFit="0" wrapText="1"/>
    </xf>
    <xf borderId="0" fillId="3" fontId="21" numFmtId="0" xfId="0" applyAlignment="1" applyFont="1">
      <alignment readingOrder="0" shrinkToFit="0" wrapText="1"/>
    </xf>
    <xf borderId="1" fillId="4" fontId="24" numFmtId="0" xfId="0" applyAlignment="1" applyBorder="1" applyFont="1">
      <alignment readingOrder="0" shrinkToFit="0" vertical="bottom" wrapText="1"/>
    </xf>
    <xf borderId="0" fillId="3" fontId="21" numFmtId="21" xfId="0" applyAlignment="1" applyFont="1" applyNumberFormat="1">
      <alignment readingOrder="0" shrinkToFit="0" wrapText="1"/>
    </xf>
    <xf borderId="0" fillId="3" fontId="21" numFmtId="46" xfId="0" applyAlignment="1" applyFont="1" applyNumberFormat="1">
      <alignment readingOrder="0" shrinkToFit="0" wrapText="1"/>
    </xf>
    <xf borderId="1" fillId="0" fontId="43" numFmtId="0" xfId="0" applyAlignment="1" applyBorder="1" applyFont="1">
      <alignment readingOrder="0" shrinkToFit="0" wrapText="1"/>
    </xf>
    <xf borderId="0" fillId="6" fontId="32" numFmtId="0" xfId="0" applyAlignment="1" applyFont="1">
      <alignment readingOrder="0" shrinkToFit="0" wrapText="1"/>
    </xf>
    <xf borderId="1" fillId="10" fontId="2" numFmtId="0" xfId="0" applyAlignment="1" applyBorder="1" applyFill="1" applyFont="1">
      <alignment readingOrder="0" shrinkToFit="0" wrapText="1"/>
    </xf>
    <xf borderId="1" fillId="10" fontId="2" numFmtId="0" xfId="0" applyAlignment="1" applyBorder="1" applyFont="1">
      <alignment shrinkToFit="0" wrapText="1"/>
    </xf>
    <xf borderId="1" fillId="10" fontId="44" numFmtId="0" xfId="0" applyAlignment="1" applyBorder="1" applyFont="1">
      <alignment readingOrder="0" shrinkToFit="0" wrapText="1"/>
    </xf>
    <xf borderId="0" fillId="10" fontId="2" numFmtId="0" xfId="0" applyAlignment="1" applyFont="1">
      <alignment readingOrder="0" shrinkToFit="0" wrapText="1"/>
    </xf>
    <xf borderId="1" fillId="10" fontId="21" numFmtId="0" xfId="0" applyAlignment="1" applyBorder="1" applyFont="1">
      <alignment readingOrder="0" shrinkToFit="0" wrapText="1"/>
    </xf>
    <xf borderId="1" fillId="10" fontId="45" numFmtId="0" xfId="0" applyAlignment="1" applyBorder="1" applyFont="1">
      <alignment readingOrder="0" shrinkToFit="0" wrapText="1"/>
    </xf>
    <xf borderId="0" fillId="10" fontId="2" numFmtId="0" xfId="0" applyAlignment="1" applyFont="1">
      <alignment readingOrder="0"/>
    </xf>
    <xf borderId="0" fillId="1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readingOrder="0" shrinkToFit="0" wrapText="1"/>
    </xf>
    <xf borderId="1" fillId="0" fontId="6" numFmtId="21" xfId="0" applyAlignment="1" applyBorder="1" applyFont="1" applyNumberFormat="1">
      <alignment readingOrder="0" shrinkToFit="0" wrapText="1"/>
    </xf>
    <xf borderId="1" fillId="0" fontId="14" numFmtId="46" xfId="0" applyAlignment="1" applyBorder="1" applyFont="1" applyNumberFormat="1">
      <alignment readingOrder="0" shrinkToFit="0" wrapText="1"/>
    </xf>
    <xf borderId="1" fillId="0" fontId="27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6" numFmtId="0" xfId="0" applyAlignment="1" applyFont="1">
      <alignment readingOrder="0"/>
    </xf>
    <xf borderId="1" fillId="11" fontId="2" numFmtId="0" xfId="0" applyAlignment="1" applyBorder="1" applyFill="1" applyFont="1">
      <alignment readingOrder="0" shrinkToFit="0" wrapText="1"/>
    </xf>
    <xf borderId="1" fillId="11" fontId="2" numFmtId="0" xfId="0" applyAlignment="1" applyBorder="1" applyFont="1">
      <alignment readingOrder="0"/>
    </xf>
    <xf borderId="1" fillId="11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'Progen-Histograms'!$V$1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'Progen-Histograms'!$U$2:$U$6</c:f>
            </c:strRef>
          </c:cat>
          <c:val>
            <c:numRef>
              <c:f>'Progen-Histograms'!$V$2:$V$6</c:f>
              <c:numCache/>
            </c:numRef>
          </c:val>
        </c:ser>
        <c:axId val="12823586"/>
        <c:axId val="1991364908"/>
      </c:barChart>
      <c:catAx>
        <c:axId val="12823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364908"/>
      </c:catAx>
      <c:valAx>
        <c:axId val="1991364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23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Cumulative Number of GRB–Galaxy/Quasar Associations vs r²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'Progen-table-2'!$J$2:$J$17</c:f>
            </c:numRef>
          </c:xVal>
          <c:yVal>
            <c:numRef>
              <c:f>'Progen-table-2'!$K$2:$K$17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632081"/>
        <c:axId val="1935748058"/>
      </c:scatterChart>
      <c:valAx>
        <c:axId val="8106320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r² (arcsec²)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748058"/>
      </c:valAx>
      <c:valAx>
        <c:axId val="1935748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Number of Associations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632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cumulative N vs. Probability ~ r^2 - Long GRB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'Progen-table-2'!$E$37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'Progen-table-2'!$D$38:$D$46</c:f>
            </c:numRef>
          </c:xVal>
          <c:yVal>
            <c:numRef>
              <c:f>'Progen-table-2'!$E$38:$E$46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084230"/>
        <c:axId val="904228270"/>
      </c:scatterChart>
      <c:valAx>
        <c:axId val="12370842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Probability ~ r^2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228270"/>
      </c:valAx>
      <c:valAx>
        <c:axId val="904228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0842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cumulative N vs. Probability ~ r^2 - Short GRB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'Progen-table-2'!$D$49:$D$52</c:f>
            </c:numRef>
          </c:xVal>
          <c:yVal>
            <c:numRef>
              <c:f>'Progen-table-2'!$E$49:$E$52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148321"/>
        <c:axId val="1533113862"/>
      </c:scatterChart>
      <c:valAx>
        <c:axId val="6471483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r^2 (arcsec^2)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113862"/>
      </c:valAx>
      <c:valAx>
        <c:axId val="1533113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148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Cumulative_N vs. Probability ~ r^2 : Galaxy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'Progen-table-2'!$G$58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'Progen-table-2'!$F$59:$F$69</c:f>
            </c:numRef>
          </c:xVal>
          <c:yVal>
            <c:numRef>
              <c:f>'Progen-table-2'!$G$59:$G$69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71203"/>
        <c:axId val="2136608130"/>
      </c:scatterChart>
      <c:valAx>
        <c:axId val="5384712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Probability ~ r^2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608130"/>
      </c:valAx>
      <c:valAx>
        <c:axId val="2136608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Cumulative_N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471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Cumulative_N vs. Probabality ~ r^2 : Quasar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'Progen-table-2'!$F$71:$F$74</c:f>
            </c:numRef>
          </c:xVal>
          <c:yVal>
            <c:numRef>
              <c:f>'Progen-table-2'!$G$71:$G$74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67543"/>
        <c:axId val="392052987"/>
      </c:scatterChart>
      <c:valAx>
        <c:axId val="2690675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r^2 (Arcsec^2)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052987"/>
      </c:valAx>
      <c:valAx>
        <c:axId val="392052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0675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276225</xdr:colOff>
      <xdr:row>6</xdr:row>
      <xdr:rowOff>323850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276225</xdr:colOff>
      <xdr:row>11</xdr:row>
      <xdr:rowOff>276225</xdr:rowOff>
    </xdr:from>
    <xdr:ext cx="5715000" cy="3533775"/>
    <xdr:pic>
      <xdr:nvPicPr>
        <xdr:cNvPr id="92462085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876300</xdr:colOff>
      <xdr:row>3</xdr:row>
      <xdr:rowOff>114300</xdr:rowOff>
    </xdr:from>
    <xdr:ext cx="6248400" cy="38671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571500</xdr:colOff>
      <xdr:row>36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752475</xdr:colOff>
      <xdr:row>36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638175</xdr:colOff>
      <xdr:row>59</xdr:row>
      <xdr:rowOff>514350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809625</xdr:colOff>
      <xdr:row>74</xdr:row>
      <xdr:rowOff>142875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randma-owncloud.lal.in2p3.fr/index.php/apps/files?dir=/Candidates/GRB/GRB250617B" TargetMode="External"/><Relationship Id="rId42" Type="http://schemas.openxmlformats.org/officeDocument/2006/relationships/hyperlink" Target="https://grandma-owncloud.lal.in2p3.fr/index.php/apps/files?dir=/Candidates/GRB/GRB250617B" TargetMode="External"/><Relationship Id="rId41" Type="http://schemas.openxmlformats.org/officeDocument/2006/relationships/hyperlink" Target="https://skyportal-icare.ijclab.in2p3.fr/source/GRB-250617_210150" TargetMode="External"/><Relationship Id="rId44" Type="http://schemas.openxmlformats.org/officeDocument/2006/relationships/hyperlink" Target="https://grandma-owncloud.lal.in2p3.fr/index.php/apps/files?dir=/Candidates/GRB/GRB250628A" TargetMode="External"/><Relationship Id="rId43" Type="http://schemas.openxmlformats.org/officeDocument/2006/relationships/hyperlink" Target="https://gcn.nasa.gov/circulars/events/grb-250617b?view=group&amp;query=250617B" TargetMode="External"/><Relationship Id="rId46" Type="http://schemas.openxmlformats.org/officeDocument/2006/relationships/hyperlink" Target="https://grandma-owncloud.lal.in2p3.fr/index.php/apps/files?dir=/Candidates/GRB/GRB250628A" TargetMode="External"/><Relationship Id="rId45" Type="http://schemas.openxmlformats.org/officeDocument/2006/relationships/hyperlink" Target="https://skyportal-icare.ijclab.in2p3.fr/source/GRB-250628_005557" TargetMode="External"/><Relationship Id="rId1" Type="http://schemas.openxmlformats.org/officeDocument/2006/relationships/hyperlink" Target="https://grandma-owncloud.lal.in2p3.fr/index.php/apps/files?dir=/Candidates/GRB/GRB250114A" TargetMode="External"/><Relationship Id="rId2" Type="http://schemas.openxmlformats.org/officeDocument/2006/relationships/hyperlink" Target="https://skyportal-icare.ijclab.in2p3.fr/source/GRB250114" TargetMode="External"/><Relationship Id="rId3" Type="http://schemas.openxmlformats.org/officeDocument/2006/relationships/hyperlink" Target="https://grandma-owncloud.lal.in2p3.fr/index.php/apps/files?dir=/Candidates/GRB/GRB250114A" TargetMode="External"/><Relationship Id="rId4" Type="http://schemas.openxmlformats.org/officeDocument/2006/relationships/hyperlink" Target="https://gcn.nasa.gov/circulars/events/grb-250114a?view=group&amp;query=250114A" TargetMode="External"/><Relationship Id="rId9" Type="http://schemas.openxmlformats.org/officeDocument/2006/relationships/hyperlink" Target="https://gcn.nasa.gov/circulars/events/ep250215a?view=group&amp;query=250215A" TargetMode="External"/><Relationship Id="rId48" Type="http://schemas.openxmlformats.org/officeDocument/2006/relationships/hyperlink" Target="https://vizier.cds.unistra.fr/viz-bin/VizieR-4?-c=038.52175-38.09533&amp;-c.rs=5&amp;-out.add=_r&amp;-sort=_r&amp;-out.max=$4" TargetMode="External"/><Relationship Id="rId47" Type="http://schemas.openxmlformats.org/officeDocument/2006/relationships/hyperlink" Target="https://gcn.nasa.gov/circulars/events/grb-250628a?view=group&amp;query=250628A" TargetMode="External"/><Relationship Id="rId49" Type="http://schemas.openxmlformats.org/officeDocument/2006/relationships/hyperlink" Target="https://grandma-owncloud.lal.in2p3.fr/index.php/apps/files?dir=/Candidates/GRB/GRB250702F" TargetMode="External"/><Relationship Id="rId5" Type="http://schemas.openxmlformats.org/officeDocument/2006/relationships/hyperlink" Target="https://vizier.cds.unistra.fr/viz-bin/VizieR-4?-c=166.5981013835738-15.1336452871456&amp;-c.rs=5&amp;-out.add=_r&amp;-sort=_r&amp;-out.max=$4" TargetMode="External"/><Relationship Id="rId6" Type="http://schemas.openxmlformats.org/officeDocument/2006/relationships/hyperlink" Target="https://grandma-owncloud.lal.in2p3.fr/index.php/apps/files?dir=/Candidates/GRB/GRB250215A" TargetMode="External"/><Relationship Id="rId7" Type="http://schemas.openxmlformats.org/officeDocument/2006/relationships/hyperlink" Target="https://skyportal-icare.ijclab.in2p3.fr/source/GRB_250215A" TargetMode="External"/><Relationship Id="rId8" Type="http://schemas.openxmlformats.org/officeDocument/2006/relationships/hyperlink" Target="https://grandma-owncloud.lal.in2p3.fr/index.php/apps/files?dir=/Candidates/GRB/GRB250215A" TargetMode="External"/><Relationship Id="rId31" Type="http://schemas.openxmlformats.org/officeDocument/2006/relationships/hyperlink" Target="https://gcn.nasa.gov/circulars/events/grb-250322a?view=group&amp;query=250322A" TargetMode="External"/><Relationship Id="rId30" Type="http://schemas.openxmlformats.org/officeDocument/2006/relationships/hyperlink" Target="https://grandma-owncloud.lal.in2p3.fr/index.php/apps/files?dir=/Candidates/GRB/GRB250322A" TargetMode="External"/><Relationship Id="rId33" Type="http://schemas.openxmlformats.org/officeDocument/2006/relationships/hyperlink" Target="https://grandma-owncloud.lal.in2p3.fr/index.php/apps/files?dir=/Candidates/GRB/GRB250327B" TargetMode="External"/><Relationship Id="rId32" Type="http://schemas.openxmlformats.org/officeDocument/2006/relationships/hyperlink" Target="https://grandma-owncloud.lal.in2p3.fr/index.php/apps/files?dir=/Candidates/GRB/GRB250327B" TargetMode="External"/><Relationship Id="rId35" Type="http://schemas.openxmlformats.org/officeDocument/2006/relationships/hyperlink" Target="https://vizier.cds.unistra.fr/viz-bin/VizieR-4?-c=176.760765%2b29.817995&amp;-c.rs=5&amp;-out.add=_r&amp;-sort=_r&amp;-out.max=$4" TargetMode="External"/><Relationship Id="rId34" Type="http://schemas.openxmlformats.org/officeDocument/2006/relationships/hyperlink" Target="https://gcn.nasa.gov/circulars/events/grb-250327b?view=group&amp;query=250327B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skyportal-icare.ijclab.in2p3.fr/source/GRB-250403_151521" TargetMode="External"/><Relationship Id="rId36" Type="http://schemas.openxmlformats.org/officeDocument/2006/relationships/hyperlink" Target="https://grandma-owncloud.lal.in2p3.fr/index.php/apps/files?dir=/Candidates/GRB/GRB%20250403A" TargetMode="External"/><Relationship Id="rId39" Type="http://schemas.openxmlformats.org/officeDocument/2006/relationships/hyperlink" Target="https://gcn.nasa.gov/circulars/events/grb-250403a?view=group&amp;query=250403A" TargetMode="External"/><Relationship Id="rId38" Type="http://schemas.openxmlformats.org/officeDocument/2006/relationships/hyperlink" Target="https://grandma-owncloud.lal.in2p3.fr/index.php/apps/files?dir=/Candidates/GRB/GRB%20250403A" TargetMode="External"/><Relationship Id="rId62" Type="http://schemas.openxmlformats.org/officeDocument/2006/relationships/hyperlink" Target="https://grandma-owncloud.lal.in2p3.fr/index.php/apps/files?dir=/Candidates/GRB/GRB250813B" TargetMode="External"/><Relationship Id="rId61" Type="http://schemas.openxmlformats.org/officeDocument/2006/relationships/hyperlink" Target="https://gcn.nasa.gov/circulars/events/grb-250718a?view=group&amp;query=250718A" TargetMode="External"/><Relationship Id="rId20" Type="http://schemas.openxmlformats.org/officeDocument/2006/relationships/hyperlink" Target="https://grandma-owncloud.lal.in2p3.fr/index.php/apps/files?dir=/Candidates/GRB/GRB250317B" TargetMode="External"/><Relationship Id="rId64" Type="http://schemas.openxmlformats.org/officeDocument/2006/relationships/hyperlink" Target="https://grandma-owncloud.lal.in2p3.fr/index.php/apps/files?dir=/Candidates/GRB/GRB250813B" TargetMode="External"/><Relationship Id="rId63" Type="http://schemas.openxmlformats.org/officeDocument/2006/relationships/hyperlink" Target="https://skyportal-icare.ijclab.in2p3.fr/source/GCN-250813_225115" TargetMode="External"/><Relationship Id="rId22" Type="http://schemas.openxmlformats.org/officeDocument/2006/relationships/hyperlink" Target="https://grandma-owncloud.lal.in2p3.fr/index.php/apps/files?dir=/Candidates/GRB/GRB250317B" TargetMode="External"/><Relationship Id="rId66" Type="http://schemas.openxmlformats.org/officeDocument/2006/relationships/hyperlink" Target="https://grandma-owncloud.lal.in2p3.fr/index.php/apps/files?dir=/Candidates/GRB/GRB250818B" TargetMode="External"/><Relationship Id="rId21" Type="http://schemas.openxmlformats.org/officeDocument/2006/relationships/hyperlink" Target="https://skyportal-icare.ijclab.in2p3.fr/source/GRB250317B" TargetMode="External"/><Relationship Id="rId65" Type="http://schemas.openxmlformats.org/officeDocument/2006/relationships/hyperlink" Target="https://gcn.nasa.gov/circulars/events/grb-250813b?view=group&amp;query=250813B" TargetMode="External"/><Relationship Id="rId24" Type="http://schemas.openxmlformats.org/officeDocument/2006/relationships/hyperlink" Target="https://grandma-owncloud.lal.in2p3.fr/index.php/apps/files?dir=/Candidates/GRB/GRB250321A" TargetMode="External"/><Relationship Id="rId68" Type="http://schemas.openxmlformats.org/officeDocument/2006/relationships/hyperlink" Target="https://grandma-owncloud.lal.in2p3.fr/index.php/apps/files?dir=/Candidates/GRB/GRB250818B" TargetMode="External"/><Relationship Id="rId23" Type="http://schemas.openxmlformats.org/officeDocument/2006/relationships/hyperlink" Target="https://gcn.nasa.gov/circulars/events/grb-250317b?view=group&amp;query=250317b" TargetMode="External"/><Relationship Id="rId67" Type="http://schemas.openxmlformats.org/officeDocument/2006/relationships/hyperlink" Target="https://skyportal-icare.ijclab.in2p3.fr/source/GCN-250818_032908" TargetMode="External"/><Relationship Id="rId60" Type="http://schemas.openxmlformats.org/officeDocument/2006/relationships/hyperlink" Target="https://grandma-owncloud.lal.in2p3.fr/index.php/apps/files?dir=/Candidates/GRB/GRB250718A" TargetMode="External"/><Relationship Id="rId26" Type="http://schemas.openxmlformats.org/officeDocument/2006/relationships/hyperlink" Target="https://grandma-owncloud.lal.in2p3.fr/index.php/apps/files?dir=/Candidates/GRB/GRB250321A" TargetMode="External"/><Relationship Id="rId25" Type="http://schemas.openxmlformats.org/officeDocument/2006/relationships/hyperlink" Target="https://skyportal-icare.ijclab.in2p3.fr/source/GRB250321A" TargetMode="External"/><Relationship Id="rId69" Type="http://schemas.openxmlformats.org/officeDocument/2006/relationships/hyperlink" Target="https://gcn.nasa.gov/circulars/events/grb-250818b?view=group&amp;query=250818B" TargetMode="External"/><Relationship Id="rId28" Type="http://schemas.openxmlformats.org/officeDocument/2006/relationships/hyperlink" Target="https://grandma-owncloud.lal.in2p3.fr/index.php/apps/files?dir=/Candidates/GRB/GRB250322A" TargetMode="External"/><Relationship Id="rId27" Type="http://schemas.openxmlformats.org/officeDocument/2006/relationships/hyperlink" Target="https://gcn.nasa.gov/circulars/events/grb-250321a?view=group&amp;query=250321a" TargetMode="External"/><Relationship Id="rId29" Type="http://schemas.openxmlformats.org/officeDocument/2006/relationships/hyperlink" Target="https://skyportal-icare.ijclab.in2p3.fr/source/GRB250322A" TargetMode="External"/><Relationship Id="rId51" Type="http://schemas.openxmlformats.org/officeDocument/2006/relationships/hyperlink" Target="https://grandma-owncloud.lal.in2p3.fr/index.php/apps/files?dir=/Candidates/GRB/GRB250702F" TargetMode="External"/><Relationship Id="rId50" Type="http://schemas.openxmlformats.org/officeDocument/2006/relationships/hyperlink" Target="https://skyportal-icare.ijclab.in2p3.fr/source/GRB-250702_210643" TargetMode="External"/><Relationship Id="rId53" Type="http://schemas.openxmlformats.org/officeDocument/2006/relationships/hyperlink" Target="https://grandma-owncloud.ijclab.in2p3.fr/index.php/apps/files?dir=/Candidates/GRB/GRB250704A&amp;fileid=1269007" TargetMode="External"/><Relationship Id="rId52" Type="http://schemas.openxmlformats.org/officeDocument/2006/relationships/hyperlink" Target="https://gcn.nasa.gov/circulars/events/grb-250702f?view=group&amp;query=250702F" TargetMode="External"/><Relationship Id="rId11" Type="http://schemas.openxmlformats.org/officeDocument/2006/relationships/hyperlink" Target="https://skyportal-icare.ijclab.in2p3.fr/source/GRB250219A" TargetMode="External"/><Relationship Id="rId55" Type="http://schemas.openxmlformats.org/officeDocument/2006/relationships/hyperlink" Target="https://grandma-owncloud.ijclab.in2p3.fr/index.php/apps/files?dir=/Candidates/GRB/GRB250704A&amp;fileid=1269007" TargetMode="External"/><Relationship Id="rId10" Type="http://schemas.openxmlformats.org/officeDocument/2006/relationships/hyperlink" Target="https://grandma-owncloud.lal.in2p3.fr/index.php/apps/files?dir=/Candidates/GRB/GRB250219A" TargetMode="External"/><Relationship Id="rId54" Type="http://schemas.openxmlformats.org/officeDocument/2006/relationships/hyperlink" Target="https://skyportal-icare.ijclab.in2p3.fr/source/GCN-250704_034220" TargetMode="External"/><Relationship Id="rId13" Type="http://schemas.openxmlformats.org/officeDocument/2006/relationships/hyperlink" Target="https://gcn.nasa.gov/circulars/events/grb-250219a?view=group&amp;query=250219a" TargetMode="External"/><Relationship Id="rId57" Type="http://schemas.openxmlformats.org/officeDocument/2006/relationships/hyperlink" Target="https://vizier.cds.unistra.fr/viz-bin/VizieR-4?-c=017.1992-17.3061&amp;-c.rs=5&amp;-out.add=_r&amp;-sort=_r&amp;-out.max=$4" TargetMode="External"/><Relationship Id="rId12" Type="http://schemas.openxmlformats.org/officeDocument/2006/relationships/hyperlink" Target="https://grandma-owncloud.lal.in2p3.fr/index.php/apps/files?dir=/Candidates/GRB/GRB250219A" TargetMode="External"/><Relationship Id="rId56" Type="http://schemas.openxmlformats.org/officeDocument/2006/relationships/hyperlink" Target="https://gcn.nasa.gov/circulars/events/grb-250704a?view=group&amp;query=250704A" TargetMode="External"/><Relationship Id="rId15" Type="http://schemas.openxmlformats.org/officeDocument/2006/relationships/hyperlink" Target="https://grandma-owncloud.lal.in2p3.fr/index.php/apps/files?dir=/Candidates/GRB/GRB250221A" TargetMode="External"/><Relationship Id="rId59" Type="http://schemas.openxmlformats.org/officeDocument/2006/relationships/hyperlink" Target="https://skyportal-icare.ijclab.in2p3.fr/source/GRB-250718_001403" TargetMode="External"/><Relationship Id="rId14" Type="http://schemas.openxmlformats.org/officeDocument/2006/relationships/hyperlink" Target="https://vizier.cds.unistra.fr/viz-bin/VizieR-4?-c=173.2654%2b22.6642&amp;-c.rs=5&amp;-out.add=_r&amp;-sort=_r&amp;-out.max=$4" TargetMode="External"/><Relationship Id="rId58" Type="http://schemas.openxmlformats.org/officeDocument/2006/relationships/hyperlink" Target="https://grandma-owncloud.lal.in2p3.fr/index.php/apps/files?dir=/Candidates/GRB/GRB250718A" TargetMode="External"/><Relationship Id="rId17" Type="http://schemas.openxmlformats.org/officeDocument/2006/relationships/hyperlink" Target="https://grandma-owncloud.lal.in2p3.fr/index.php/apps/files?dir=/Candidates/GRB/GRB250221A" TargetMode="External"/><Relationship Id="rId16" Type="http://schemas.openxmlformats.org/officeDocument/2006/relationships/hyperlink" Target="https://skyportal-icare.ijclab.in2p3.fr/source/GRB250221A" TargetMode="External"/><Relationship Id="rId19" Type="http://schemas.openxmlformats.org/officeDocument/2006/relationships/hyperlink" Target="https://arxiv.org/abs/2510.19132" TargetMode="External"/><Relationship Id="rId18" Type="http://schemas.openxmlformats.org/officeDocument/2006/relationships/hyperlink" Target="https://gcn.nasa.gov/circulars/events/grb-250221a?view=group&amp;query=250221a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randma-owncloud.ijclab.in2p3.fr/index.php/apps/files/?dir=/Candidates/GRB/GRB241006A&amp;fileid=1189989" TargetMode="External"/><Relationship Id="rId84" Type="http://schemas.openxmlformats.org/officeDocument/2006/relationships/drawing" Target="../drawings/drawing2.xml"/><Relationship Id="rId83" Type="http://schemas.openxmlformats.org/officeDocument/2006/relationships/hyperlink" Target="https://gcn.nasa.gov/circulars/events/grb-241229b?view=group&amp;query=241229B" TargetMode="External"/><Relationship Id="rId42" Type="http://schemas.openxmlformats.org/officeDocument/2006/relationships/hyperlink" Target="https://skyportal-icare.ijclab.in2p3.fr/source/GRB241009A" TargetMode="External"/><Relationship Id="rId41" Type="http://schemas.openxmlformats.org/officeDocument/2006/relationships/hyperlink" Target="https://gcn.nasa.gov/circulars/events/grb-241006a?view=group&amp;query=241006A" TargetMode="External"/><Relationship Id="rId44" Type="http://schemas.openxmlformats.org/officeDocument/2006/relationships/hyperlink" Target="https://gcn.nasa.gov/circulars/events/grb-241009a?view=group&amp;query=241009A" TargetMode="External"/><Relationship Id="rId43" Type="http://schemas.openxmlformats.org/officeDocument/2006/relationships/hyperlink" Target="https://grandma-owncloud.ijclab.in2p3.fr/index.php/apps/files?dir=/Candidates/GRB/GRB241009A/STACK&amp;fileid=1190397" TargetMode="External"/><Relationship Id="rId46" Type="http://schemas.openxmlformats.org/officeDocument/2006/relationships/hyperlink" Target="https://grandma-owncloud.ijclab.in2p3.fr/index.php/apps/files/?dir=/Candidates/GRB/GRB241018A&amp;fileid=1190561" TargetMode="External"/><Relationship Id="rId45" Type="http://schemas.openxmlformats.org/officeDocument/2006/relationships/hyperlink" Target="https://skyportal-icare.ijclab.in2p3.fr/source/GRB241018A" TargetMode="External"/><Relationship Id="rId80" Type="http://schemas.openxmlformats.org/officeDocument/2006/relationships/hyperlink" Target="https://grandma-owncloud.ijclab.in2p3.fr/index.php/apps/files/?dir=/Candidates/GRB/GRB241229A/STACK&amp;fileid=1215724" TargetMode="External"/><Relationship Id="rId82" Type="http://schemas.openxmlformats.org/officeDocument/2006/relationships/hyperlink" Target="https://skyportal-icare.ijclab.in2p3.fr/source/GRB241229" TargetMode="External"/><Relationship Id="rId81" Type="http://schemas.openxmlformats.org/officeDocument/2006/relationships/hyperlink" Target="https://gcn.nasa.gov/circulars/events/grb-241229a?view=group&amp;query=241229A" TargetMode="External"/><Relationship Id="rId1" Type="http://schemas.openxmlformats.org/officeDocument/2006/relationships/hyperlink" Target="https://skyportal-icare.ijclab.in2p3.fr/source/INTEGRAL-GRB231115A" TargetMode="External"/><Relationship Id="rId2" Type="http://schemas.openxmlformats.org/officeDocument/2006/relationships/hyperlink" Target="https://gcn.nasa.gov/circulars/events/grb-231115a?view=group&amp;query=231115A" TargetMode="External"/><Relationship Id="rId3" Type="http://schemas.openxmlformats.org/officeDocument/2006/relationships/hyperlink" Target="https://arxiv.org/abs/2312.02848" TargetMode="External"/><Relationship Id="rId4" Type="http://schemas.openxmlformats.org/officeDocument/2006/relationships/hyperlink" Target="https://vizier.cds.unistra.fr/viz-bin/VizieR-4?-c=148.98754%2b69.68231&amp;-c.rs=5&amp;-out.add=_r&amp;-sort=_r&amp;-out.max=$4" TargetMode="External"/><Relationship Id="rId9" Type="http://schemas.openxmlformats.org/officeDocument/2006/relationships/hyperlink" Target="https://grandma-owncloud.ijclab.in2p3.fr/index.php/apps/files/?dir=/Candidates/GRB/GRB240715A&amp;fileid=1173190" TargetMode="External"/><Relationship Id="rId48" Type="http://schemas.openxmlformats.org/officeDocument/2006/relationships/hyperlink" Target="https://vizier.cds.unistra.fr/viz-bin/VizieR-4?-c=067.92985%2b42.99326&amp;-c.rs=5&amp;-out.add=_r&amp;-sort=_r&amp;-out.max=$4" TargetMode="External"/><Relationship Id="rId47" Type="http://schemas.openxmlformats.org/officeDocument/2006/relationships/hyperlink" Target="https://gcn.nasa.gov/circulars/events/grb-241018a?view=group&amp;query=241018A" TargetMode="External"/><Relationship Id="rId49" Type="http://schemas.openxmlformats.org/officeDocument/2006/relationships/hyperlink" Target="https://skyportal-icare.ijclab.in2p3.fr/source/GRB-241025_013651" TargetMode="External"/><Relationship Id="rId5" Type="http://schemas.openxmlformats.org/officeDocument/2006/relationships/hyperlink" Target="https://skyportal-icare.ijclab.in2p3.fr/source/GRB240713A" TargetMode="External"/><Relationship Id="rId6" Type="http://schemas.openxmlformats.org/officeDocument/2006/relationships/hyperlink" Target="https://grandma-owncloud.ijclab.in2p3.fr/index.php/apps/files/?dir=/Candidates/GRB/GRB240713A%20&amp;fileid=1172853" TargetMode="External"/><Relationship Id="rId7" Type="http://schemas.openxmlformats.org/officeDocument/2006/relationships/hyperlink" Target="https://gcn.nasa.gov/circulars/events/grb-240713a?view=group&amp;query=240713A" TargetMode="External"/><Relationship Id="rId8" Type="http://schemas.openxmlformats.org/officeDocument/2006/relationships/hyperlink" Target="https://skyportal-icare.ijclab.in2p3.fr/source/GRB240715A" TargetMode="External"/><Relationship Id="rId73" Type="http://schemas.openxmlformats.org/officeDocument/2006/relationships/hyperlink" Target="https://skyportal-icare.ijclab.in2p3.fr/source/GRB241213" TargetMode="External"/><Relationship Id="rId72" Type="http://schemas.openxmlformats.org/officeDocument/2006/relationships/hyperlink" Target="https://gcn.nasa.gov/circulars/events/grb-241209b?view=group&amp;query=241209B" TargetMode="External"/><Relationship Id="rId31" Type="http://schemas.openxmlformats.org/officeDocument/2006/relationships/hyperlink" Target="https://gcn.nasa.gov/circulars/events/grb-240911a?view=group&amp;query=240911A" TargetMode="External"/><Relationship Id="rId75" Type="http://schemas.openxmlformats.org/officeDocument/2006/relationships/hyperlink" Target="https://gcn.nasa.gov/circulars/events/ep241213a?view=group&amp;query=241213A" TargetMode="External"/><Relationship Id="rId30" Type="http://schemas.openxmlformats.org/officeDocument/2006/relationships/hyperlink" Target="https://grandma-owncloud.ijclab.in2p3.fr/index.php/apps/files/?dir=/Candidates/GRB/GRB240911A&amp;fileid=1183092" TargetMode="External"/><Relationship Id="rId74" Type="http://schemas.openxmlformats.org/officeDocument/2006/relationships/hyperlink" Target="https://grandma-owncloud.ijclab.in2p3.fr/index.php/apps/files/?dir=/Candidates/GRB/GRB241213A/IMAGES/STACK&amp;fileid=1211227" TargetMode="External"/><Relationship Id="rId33" Type="http://schemas.openxmlformats.org/officeDocument/2006/relationships/hyperlink" Target="https://skyportal-icare.ijclab.in2p3.fr/source/GRB241001A" TargetMode="External"/><Relationship Id="rId77" Type="http://schemas.openxmlformats.org/officeDocument/2006/relationships/hyperlink" Target="https://grandma-owncloud.ijclab.in2p3.fr/index.php/apps/files/?dir=/Candidates/GRB/GRB241217A/IMAGES/STACK&amp;fileid=1214799" TargetMode="External"/><Relationship Id="rId32" Type="http://schemas.openxmlformats.org/officeDocument/2006/relationships/hyperlink" Target="https://vizier.cds.unistra.fr/viz-bin/VizieR-4?-c=351.2721%2b21.3350&amp;-c.rs=5&amp;-out.add=_r&amp;-sort=_r&amp;-out.max=$4" TargetMode="External"/><Relationship Id="rId76" Type="http://schemas.openxmlformats.org/officeDocument/2006/relationships/hyperlink" Target="https://skyportal-icare.ijclab.in2p3.fr/source/GRB241217A_SVOM" TargetMode="External"/><Relationship Id="rId35" Type="http://schemas.openxmlformats.org/officeDocument/2006/relationships/hyperlink" Target="https://gcn.nasa.gov/circulars/events/grb-241001a?view=group&amp;query=241001A" TargetMode="External"/><Relationship Id="rId79" Type="http://schemas.openxmlformats.org/officeDocument/2006/relationships/hyperlink" Target="https://skyportal-icare.ijclab.in2p3.fr/source/sb24122901" TargetMode="External"/><Relationship Id="rId34" Type="http://schemas.openxmlformats.org/officeDocument/2006/relationships/hyperlink" Target="https://grandma-owncloud.ijclab.in2p3.fr/index.php/apps/files/?dir=/Candidates/GRB/GRB241001A&amp;fileid=1189131" TargetMode="External"/><Relationship Id="rId78" Type="http://schemas.openxmlformats.org/officeDocument/2006/relationships/hyperlink" Target="https://gcn.nasa.gov/circulars/events/ep241217b?view=group&amp;query=241217A" TargetMode="External"/><Relationship Id="rId71" Type="http://schemas.openxmlformats.org/officeDocument/2006/relationships/hyperlink" Target="https://grandma-owncloud.ijclab.in2p3.fr/index.php/apps/files/?dir=/Candidates/GRB/GRB241209B/STACK&amp;fileid=1209131" TargetMode="External"/><Relationship Id="rId70" Type="http://schemas.openxmlformats.org/officeDocument/2006/relationships/hyperlink" Target="https://skyportal-icare.ijclab.in2p3.fr/source/GRB241209B" TargetMode="External"/><Relationship Id="rId37" Type="http://schemas.openxmlformats.org/officeDocument/2006/relationships/hyperlink" Target="https://grandma-owncloud.ijclab.in2p3.fr/index.php/apps/files/?dir=/Candidates/GRB/GRB241002C&amp;fileid=1189380" TargetMode="External"/><Relationship Id="rId36" Type="http://schemas.openxmlformats.org/officeDocument/2006/relationships/hyperlink" Target="https://skyportal-icare.ijclab.in2p3.fr/source/GRB241002C" TargetMode="External"/><Relationship Id="rId39" Type="http://schemas.openxmlformats.org/officeDocument/2006/relationships/hyperlink" Target="https://skyportal-icare.ijclab.in2p3.fr/source/GRB-241006_215158" TargetMode="External"/><Relationship Id="rId38" Type="http://schemas.openxmlformats.org/officeDocument/2006/relationships/hyperlink" Target="https://gcn.nasa.gov/circulars/events/grb-241002c?view=group&amp;query=241002C" TargetMode="External"/><Relationship Id="rId62" Type="http://schemas.openxmlformats.org/officeDocument/2006/relationships/hyperlink" Target="https://vizier.cds.unistra.fr/viz-bin/VizieR-4?-c=327.9126532900538-56.6519543183511&amp;-c.rs=5&amp;-out.add=_r&amp;-sort=_r&amp;-out.max=$4" TargetMode="External"/><Relationship Id="rId61" Type="http://schemas.openxmlformats.org/officeDocument/2006/relationships/hyperlink" Target="https://gcn.nasa.gov/circulars/events/grb-241127a?view=group&amp;query=241127A&amp;view=group&amp;limit=100" TargetMode="External"/><Relationship Id="rId20" Type="http://schemas.openxmlformats.org/officeDocument/2006/relationships/hyperlink" Target="https://gcn.nasa.gov/circulars/events/grb-240828b?view=group&amp;query=240828B&amp;view=group&amp;limit=100" TargetMode="External"/><Relationship Id="rId64" Type="http://schemas.openxmlformats.org/officeDocument/2006/relationships/hyperlink" Target="https://skyportal-icare.ijclab.in2p3.fr/source/GRB241128A" TargetMode="External"/><Relationship Id="rId63" Type="http://schemas.openxmlformats.org/officeDocument/2006/relationships/hyperlink" Target="https://vizier.cds.unistra.fr/viz-bin/VizieR-4?-c=327.8635522367491-56.6333715323394&amp;-c.rs=5&amp;-out.add=_r&amp;-sort=_r&amp;-out.max=$4" TargetMode="External"/><Relationship Id="rId22" Type="http://schemas.openxmlformats.org/officeDocument/2006/relationships/hyperlink" Target="https://grandma-owncloud.ijclab.in2p3.fr/index.php/apps/files/?dir=/Candidates/GRB/GRB240905E&amp;fileid=1181466" TargetMode="External"/><Relationship Id="rId66" Type="http://schemas.openxmlformats.org/officeDocument/2006/relationships/hyperlink" Target="https://gcn.nasa.gov/circulars/events/grb-241128a?view=group&amp;query=241128A" TargetMode="External"/><Relationship Id="rId21" Type="http://schemas.openxmlformats.org/officeDocument/2006/relationships/hyperlink" Target="https://skyportal-icare.ijclab.in2p3.fr/source/GRB240905" TargetMode="External"/><Relationship Id="rId65" Type="http://schemas.openxmlformats.org/officeDocument/2006/relationships/hyperlink" Target="https://grandma-owncloud.ijclab.in2p3.fr/index.php/apps/files/?dir=/Candidates/GRB/GRB241128A&amp;fileid=1204281" TargetMode="External"/><Relationship Id="rId24" Type="http://schemas.openxmlformats.org/officeDocument/2006/relationships/hyperlink" Target="https://vizier.cds.unistra.fr/viz-bin/VizieR-4?-c=345.806671%2b35.518050&amp;-c.rs=5&amp;-out.add=_r&amp;-sort=_r&amp;-out.max=$4" TargetMode="External"/><Relationship Id="rId68" Type="http://schemas.openxmlformats.org/officeDocument/2006/relationships/hyperlink" Target="https://grandma-owncloud.ijclab.in2p3.fr/index.php/apps/files/?dir=/Candidates/GRB/GRB241209A&amp;fileid=1211061" TargetMode="External"/><Relationship Id="rId23" Type="http://schemas.openxmlformats.org/officeDocument/2006/relationships/hyperlink" Target="https://gcn.nasa.gov/circulars/events/grb-240905e?view=group&amp;query=240905E" TargetMode="External"/><Relationship Id="rId67" Type="http://schemas.openxmlformats.org/officeDocument/2006/relationships/hyperlink" Target="https://skyportal-icare.ijclab.in2p3.fr/source/GRB241209A" TargetMode="External"/><Relationship Id="rId60" Type="http://schemas.openxmlformats.org/officeDocument/2006/relationships/hyperlink" Target="https://skyportal-icare.ijclab.in2p3.fr/source/GRB241127" TargetMode="External"/><Relationship Id="rId26" Type="http://schemas.openxmlformats.org/officeDocument/2006/relationships/hyperlink" Target="https://grandma-owncloud.ijclab.in2p3.fr/index.php/apps/files/?dir=/Candidates/GRB/GRB240912A&amp;fileid=1182345" TargetMode="External"/><Relationship Id="rId25" Type="http://schemas.openxmlformats.org/officeDocument/2006/relationships/hyperlink" Target="https://skyportal-icare.ijclab.in2p3.fr/source/GRB240912" TargetMode="External"/><Relationship Id="rId69" Type="http://schemas.openxmlformats.org/officeDocument/2006/relationships/hyperlink" Target="https://gcn.nasa.gov/circulars/events/grb-241209a?view=group&amp;query=241209A" TargetMode="External"/><Relationship Id="rId28" Type="http://schemas.openxmlformats.org/officeDocument/2006/relationships/hyperlink" Target="https://vizier.cds.unistra.fr/viz-bin/VizieR-4?-c=124.63189683%2b34.01989769&amp;-c.rs=5&amp;-out.add=_r&amp;-sort=_r&amp;-out.max=$4" TargetMode="External"/><Relationship Id="rId27" Type="http://schemas.openxmlformats.org/officeDocument/2006/relationships/hyperlink" Target="https://gcn.nasa.gov/circulars/events/grb-240912a?view=group&amp;query=240912A" TargetMode="External"/><Relationship Id="rId29" Type="http://schemas.openxmlformats.org/officeDocument/2006/relationships/hyperlink" Target="https://skyportal-icare.ijclab.in2p3.fr/source/OGRB240911A" TargetMode="External"/><Relationship Id="rId51" Type="http://schemas.openxmlformats.org/officeDocument/2006/relationships/hyperlink" Target="https://gcn.nasa.gov/circulars/events/ep241025a?view=group&amp;query=241025A" TargetMode="External"/><Relationship Id="rId50" Type="http://schemas.openxmlformats.org/officeDocument/2006/relationships/hyperlink" Target="https://grandma-owncloud.ijclab.in2p3.fr/index.php/apps/files/?dir=/Candidates/GRB/GRB241025A&amp;fileid=1191522" TargetMode="External"/><Relationship Id="rId53" Type="http://schemas.openxmlformats.org/officeDocument/2006/relationships/hyperlink" Target="https://grandma-owncloud.ijclab.in2p3.fr/index.php/apps/files/?dir=/Candidates/GRB/GRB241026A&amp;fileid=1191546" TargetMode="External"/><Relationship Id="rId52" Type="http://schemas.openxmlformats.org/officeDocument/2006/relationships/hyperlink" Target="https://skyportal-icare.ijclab.in2p3.fr/source/GRB241026" TargetMode="External"/><Relationship Id="rId11" Type="http://schemas.openxmlformats.org/officeDocument/2006/relationships/hyperlink" Target="https://vizier.cds.unistra.fr/viz-bin/VizieR-4?-c=005.2483-36.5000&amp;-c.rs=5&amp;-out.add=_r&amp;-sort=_r&amp;-out.max=$4" TargetMode="External"/><Relationship Id="rId55" Type="http://schemas.openxmlformats.org/officeDocument/2006/relationships/hyperlink" Target="https://vizier.cds.unistra.fr/viz-bin/VizieR-4?-c=293.4008%2b57.9857&amp;-c.rs=5&amp;-out.add=_r&amp;-sort=_r&amp;-out.max=$4" TargetMode="External"/><Relationship Id="rId10" Type="http://schemas.openxmlformats.org/officeDocument/2006/relationships/hyperlink" Target="https://gcn.nasa.gov/circulars/events/grb-240715a?view=group&amp;query=240715A" TargetMode="External"/><Relationship Id="rId54" Type="http://schemas.openxmlformats.org/officeDocument/2006/relationships/hyperlink" Target="https://gcn.nasa.gov/circulars/events/ep241026a?view=group&amp;query=241026A" TargetMode="External"/><Relationship Id="rId13" Type="http://schemas.openxmlformats.org/officeDocument/2006/relationships/hyperlink" Target="https://grandma-owncloud.ijclab.in2p3.fr/index.php/apps/files/?dir=/Candidates/GRB/GRB240809A&amp;fileid=1174176" TargetMode="External"/><Relationship Id="rId57" Type="http://schemas.openxmlformats.org/officeDocument/2006/relationships/hyperlink" Target="https://grandma-owncloud.ijclab.in2p3.fr/index.php/apps/files/?dir=/Candidates/GRB/GRB241029A&amp;fileid=1191585" TargetMode="External"/><Relationship Id="rId12" Type="http://schemas.openxmlformats.org/officeDocument/2006/relationships/hyperlink" Target="https://skyportal-icare.ijclab.in2p3.fr/source/GRB240809" TargetMode="External"/><Relationship Id="rId56" Type="http://schemas.openxmlformats.org/officeDocument/2006/relationships/hyperlink" Target="https://skyportal-icare.ijclab.in2p3.fr/source/GRB241029A" TargetMode="External"/><Relationship Id="rId15" Type="http://schemas.openxmlformats.org/officeDocument/2006/relationships/hyperlink" Target="https://skyportal-icare.ijclab.in2p3.fr/source/GRB240824" TargetMode="External"/><Relationship Id="rId59" Type="http://schemas.openxmlformats.org/officeDocument/2006/relationships/hyperlink" Target="https://skyportal-icare.ijclab.in2p3.fr/source/GRB241127" TargetMode="External"/><Relationship Id="rId14" Type="http://schemas.openxmlformats.org/officeDocument/2006/relationships/hyperlink" Target="https://gcn.nasa.gov/circulars/events/grb-240809a?view=group&amp;query=240809A" TargetMode="External"/><Relationship Id="rId58" Type="http://schemas.openxmlformats.org/officeDocument/2006/relationships/hyperlink" Target="https://gcn.nasa.gov/circulars/events/grb-241029a?view=group&amp;query=241029A" TargetMode="External"/><Relationship Id="rId17" Type="http://schemas.openxmlformats.org/officeDocument/2006/relationships/hyperlink" Target="https://gcn.nasa.gov/circulars/events/grb-240824a?view=group&amp;query=240824A" TargetMode="External"/><Relationship Id="rId16" Type="http://schemas.openxmlformats.org/officeDocument/2006/relationships/hyperlink" Target="https://grandma-owncloud.ijclab.in2p3.fr/index.php/apps/files/?dir=/Candidates/GRB/GRB240824A&amp;fileid=1175585" TargetMode="External"/><Relationship Id="rId19" Type="http://schemas.openxmlformats.org/officeDocument/2006/relationships/hyperlink" Target="https://grandma-owncloud.ijclab.in2p3.fr/index.php/apps/files/?dir=/Candidates/GRB/GRB240828B/STACK&amp;fileid=1176550" TargetMode="External"/><Relationship Id="rId18" Type="http://schemas.openxmlformats.org/officeDocument/2006/relationships/hyperlink" Target="https://skyportal-icare.ijclab.in2p3.fr/source/S24082808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grandma-owncloud.ijclab.in2p3.fr/index.php/apps/files/?dir=/Candidates/GRB/GRB221028_1131910_SWIFT&amp;fileid=759602" TargetMode="External"/><Relationship Id="rId42" Type="http://schemas.openxmlformats.org/officeDocument/2006/relationships/hyperlink" Target="https://vizier.cds.unistra.fr/viz-bin/VizieR-4?-c=314.20267%2b41.08981&amp;-c.rs=5&amp;-out.add=_r&amp;-sort=_r&amp;-out.max=$4" TargetMode="External"/><Relationship Id="rId41" Type="http://schemas.openxmlformats.org/officeDocument/2006/relationships/hyperlink" Target="https://gcn.nasa.gov/circulars/events/grb-221028a?view=group&amp;query=221028A" TargetMode="External"/><Relationship Id="rId44" Type="http://schemas.openxmlformats.org/officeDocument/2006/relationships/hyperlink" Target="https://gcn.nasa.gov/circulars/events/grb-221027b?view=group&amp;query=221027b" TargetMode="External"/><Relationship Id="rId43" Type="http://schemas.openxmlformats.org/officeDocument/2006/relationships/hyperlink" Target="https://grandma-owncloud.ijclab.in2p3.fr/index.php/apps/files/?dir=/Candidates/GRB/GRB221027_1131397_SWIFT&amp;fileid=759196" TargetMode="External"/><Relationship Id="rId46" Type="http://schemas.openxmlformats.org/officeDocument/2006/relationships/hyperlink" Target="https://gcn.nasa.gov/circulars/events/grb-221024a?view=group&amp;query=221024A" TargetMode="External"/><Relationship Id="rId45" Type="http://schemas.openxmlformats.org/officeDocument/2006/relationships/hyperlink" Target="https://grandma-owncloud.ijclab.in2p3.fr/index.php/apps/files/?dir=/Candidates/GRB/GRB221024_1131029_SWIFT&amp;fileid=755189" TargetMode="External"/><Relationship Id="rId1" Type="http://schemas.openxmlformats.org/officeDocument/2006/relationships/hyperlink" Target="https://www.aanda.org/articles/aa/pdf/2024/02/aa47938-23.pdf" TargetMode="External"/><Relationship Id="rId2" Type="http://schemas.openxmlformats.org/officeDocument/2006/relationships/hyperlink" Target="https://grandma-owncloud.ijclab.in2p3.fr/index.php/apps/files/?dir=/Candidates/GRB/GRB220319A_1098132_SWIFT&amp;fileid=422859" TargetMode="External"/><Relationship Id="rId3" Type="http://schemas.openxmlformats.org/officeDocument/2006/relationships/hyperlink" Target="https://gcn.nasa.gov/circulars/events/grb-220319a?view=group&amp;query=GRB+220319A" TargetMode="External"/><Relationship Id="rId4" Type="http://schemas.openxmlformats.org/officeDocument/2006/relationships/hyperlink" Target="https://iopscience.iop.org/article/10.3847/1538-4357/ad1b59" TargetMode="External"/><Relationship Id="rId9" Type="http://schemas.openxmlformats.org/officeDocument/2006/relationships/hyperlink" Target="https://vizier.cds.unistra.fr/viz-bin/VizieR-4?-c=269.48750-07.03592&amp;-c.rs=5&amp;-out.add=_r&amp;-sort=_r&amp;-out.max=$4" TargetMode="External"/><Relationship Id="rId48" Type="http://schemas.openxmlformats.org/officeDocument/2006/relationships/hyperlink" Target="https://grandma-owncloud.ijclab.in2p3.fr/index.php/apps/files/?dir=/Candidates/GRB/GRB221009A_SWIFT&amp;fileid=729138" TargetMode="External"/><Relationship Id="rId47" Type="http://schemas.openxmlformats.org/officeDocument/2006/relationships/hyperlink" Target="https://vizier.cds.unistra.fr/viz-bin/VizieR-4?-c=169.74062%2b33.04200&amp;-c.rs=5&amp;-out.add=_r&amp;-sort=_r&amp;-out.max=$4" TargetMode="External"/><Relationship Id="rId49" Type="http://schemas.openxmlformats.org/officeDocument/2006/relationships/hyperlink" Target="https://gcn.nasa.gov/circulars/events/grb-221009a?view=group&amp;query=221009A" TargetMode="External"/><Relationship Id="rId5" Type="http://schemas.openxmlformats.org/officeDocument/2006/relationships/hyperlink" Target="https://vizier.cds.unistra.fr/viz-bin/VizieR-4?-c=218.22442%2b61.29536&amp;-c.rs=5&amp;-out.add=_r&amp;-sort=_r&amp;-out.max=$4" TargetMode="External"/><Relationship Id="rId6" Type="http://schemas.openxmlformats.org/officeDocument/2006/relationships/hyperlink" Target="https://vizier.cds.unistra.fr/viz-bin/VizieR-4?-c=218.21484%2b61.27079&amp;-c.rs=5&amp;-out.add=_r&amp;-sort=_r&amp;-out.max=$4" TargetMode="External"/><Relationship Id="rId7" Type="http://schemas.openxmlformats.org/officeDocument/2006/relationships/hyperlink" Target="https://grandma-owncloud.ijclab.in2p3.fr/index.php/apps/files/?dir=/Candidates/GRB/GRB220325A_1099310_SWIFT&amp;fileid=434524" TargetMode="External"/><Relationship Id="rId8" Type="http://schemas.openxmlformats.org/officeDocument/2006/relationships/hyperlink" Target="https://gcn.nasa.gov/circulars/events/grb-220325a?view=group&amp;query=220325A" TargetMode="External"/><Relationship Id="rId31" Type="http://schemas.openxmlformats.org/officeDocument/2006/relationships/hyperlink" Target="https://grandma-owncloud.ijclab.in2p3.fr/index.php/apps/files/?dir=/Candidates/GRB/GRB220501_1104842_SWIFT&amp;fileid=478047" TargetMode="External"/><Relationship Id="rId30" Type="http://schemas.openxmlformats.org/officeDocument/2006/relationships/hyperlink" Target="https://vizier.cds.unistra.fr/viz-bin/VizieR-4?-c=097.61208%2b09.54753&amp;-c.rs=5&amp;-out.add=_r&amp;-sort=_r&amp;-out.max=$4" TargetMode="External"/><Relationship Id="rId33" Type="http://schemas.openxmlformats.org/officeDocument/2006/relationships/hyperlink" Target="https://grandma-owncloud.ijclab.in2p3.fr/index.php/apps/files/?dir=/Candidates/GRB/GRB220514A_INTEGRAL&amp;fileid=483165" TargetMode="External"/><Relationship Id="rId32" Type="http://schemas.openxmlformats.org/officeDocument/2006/relationships/hyperlink" Target="https://gcn.nasa.gov/circulars/events/grb-220501a?view=group&amp;query=220501A" TargetMode="External"/><Relationship Id="rId35" Type="http://schemas.openxmlformats.org/officeDocument/2006/relationships/hyperlink" Target="https://www.aanda.org/articles/aa/pdf/2025/09/aa55228-25.pdf" TargetMode="External"/><Relationship Id="rId34" Type="http://schemas.openxmlformats.org/officeDocument/2006/relationships/hyperlink" Target="https://gcn.nasa.gov/circulars/events/grb-220514a?view=group&amp;query=220514A" TargetMode="External"/><Relationship Id="rId37" Type="http://schemas.openxmlformats.org/officeDocument/2006/relationships/hyperlink" Target="https://grandma-owncloud.ijclab.in2p3.fr/index.php/apps/files/?dir=/Candidates/GRB/GRB221110A_SWIFT&amp;fileid=762920" TargetMode="External"/><Relationship Id="rId36" Type="http://schemas.openxmlformats.org/officeDocument/2006/relationships/hyperlink" Target="https://vizier.cds.unistra.fr/viz-bin/VizieR-4?-c=147.664082%2b13.166517&amp;-c.rs=5&amp;-out.add=_r&amp;-sort=_r&amp;-out.max=$4" TargetMode="External"/><Relationship Id="rId39" Type="http://schemas.openxmlformats.org/officeDocument/2006/relationships/hyperlink" Target="https://ui.adsabs.harvard.edu/abs/2025arXiv250113840A/abstract" TargetMode="External"/><Relationship Id="rId38" Type="http://schemas.openxmlformats.org/officeDocument/2006/relationships/hyperlink" Target="https://gcn.nasa.gov/circulars/events/grb-221110a?view=group&amp;query=221110A" TargetMode="External"/><Relationship Id="rId20" Type="http://schemas.openxmlformats.org/officeDocument/2006/relationships/hyperlink" Target="https://vizier.cds.unistra.fr/viz-bin/VizieR-4?-c=123.9708%2b30.3433&amp;-c.rs=5&amp;-out.add=_r&amp;-sort=_r&amp;-out.max=$4" TargetMode="External"/><Relationship Id="rId22" Type="http://schemas.openxmlformats.org/officeDocument/2006/relationships/hyperlink" Target="https://vizier.cds.unistra.fr/viz-bin/VizieR-4?-c=320.7611651-00.2792510&amp;-c.rs=5&amp;-out.add=_r&amp;-sort=_r&amp;-out.max=$4" TargetMode="External"/><Relationship Id="rId21" Type="http://schemas.openxmlformats.org/officeDocument/2006/relationships/hyperlink" Target="https://gcn.nasa.gov/circulars/events/grb-220412b?view=group&amp;query=GRB+220412B" TargetMode="External"/><Relationship Id="rId24" Type="http://schemas.openxmlformats.org/officeDocument/2006/relationships/hyperlink" Target="https://gcn.nasa.gov/circulars/events/grb-220427a?view=group&amp;query=220427A" TargetMode="External"/><Relationship Id="rId23" Type="http://schemas.openxmlformats.org/officeDocument/2006/relationships/hyperlink" Target="https://grandma-owncloud.ijclab.in2p3.fr/index.php/apps/files/?dir=/Candidates/GRB/GRB220427_1104343_SWIFT&amp;fileid=473917" TargetMode="External"/><Relationship Id="rId26" Type="http://schemas.openxmlformats.org/officeDocument/2006/relationships/hyperlink" Target="https://vizier.cds.unistra.fr/viz-bin/VizieR-4?-c=275.88833-56.25511&amp;-c.rs=5&amp;-out.add=_r&amp;-sort=_r&amp;-out.max=$4" TargetMode="External"/><Relationship Id="rId25" Type="http://schemas.openxmlformats.org/officeDocument/2006/relationships/hyperlink" Target="https://iopscience.iop.org/article/10.3847/1538-4357/adb71e/pdf" TargetMode="External"/><Relationship Id="rId28" Type="http://schemas.openxmlformats.org/officeDocument/2006/relationships/hyperlink" Target="https://gcn.nasa.gov/circulars/events/grb-220430a?view=group&amp;query=220430A" TargetMode="External"/><Relationship Id="rId27" Type="http://schemas.openxmlformats.org/officeDocument/2006/relationships/hyperlink" Target="https://grandma-owncloud.ijclab.in2p3.fr/index.php/apps/files/?dir=/Candidates/GRB/GRB220430_1104692_SWIFT&amp;fileid=476672" TargetMode="External"/><Relationship Id="rId29" Type="http://schemas.openxmlformats.org/officeDocument/2006/relationships/hyperlink" Target="https://ui.adsabs.harvard.edu/abs/2025ApJ...981..173A/abstract" TargetMode="External"/><Relationship Id="rId51" Type="http://schemas.openxmlformats.org/officeDocument/2006/relationships/hyperlink" Target="https://vizier.cds.unistra.fr/viz-bin/VizieR-4?-c=288.26604%2b19.77297&amp;-c.rs=5&amp;-out.add=_r&amp;-sort=_r&amp;-out.max=$4" TargetMode="External"/><Relationship Id="rId50" Type="http://schemas.openxmlformats.org/officeDocument/2006/relationships/hyperlink" Target="https://www.nature.com/articles/s41598-024-69928-w" TargetMode="External"/><Relationship Id="rId53" Type="http://schemas.openxmlformats.org/officeDocument/2006/relationships/hyperlink" Target="https://iopscience.iop.org/collections/apjl-230323-172_Focus-on-the-Ultra-luminous-GRB-221009A." TargetMode="External"/><Relationship Id="rId52" Type="http://schemas.openxmlformats.org/officeDocument/2006/relationships/hyperlink" Target="https://vizier.cds.unistra.fr/viz-bin/VizieR-4?-c=288.264592%2b19.773406&amp;-c.rs=5&amp;-out.add=_r&amp;-sort=_r&amp;-out.max=$4" TargetMode="External"/><Relationship Id="rId11" Type="http://schemas.openxmlformats.org/officeDocument/2006/relationships/hyperlink" Target="https://gcn.nasa.gov/circulars/events/grb-220403b?view=group&amp;query=220403B" TargetMode="External"/><Relationship Id="rId55" Type="http://schemas.openxmlformats.org/officeDocument/2006/relationships/hyperlink" Target="https://ui.adsabs.harvard.edu/abs/2025APh...16503062N/abstract" TargetMode="External"/><Relationship Id="rId10" Type="http://schemas.openxmlformats.org/officeDocument/2006/relationships/hyperlink" Target="https://grandma-owncloud.ijclab.in2p3.fr/index.php/apps/files/?dir=/Candidates/GRB/GRB220403_SWIFT&amp;fileid=439564" TargetMode="External"/><Relationship Id="rId54" Type="http://schemas.openxmlformats.org/officeDocument/2006/relationships/hyperlink" Target="https://ui.adsabs.harvard.edu/abs/2024arXiv241018131N/abstract" TargetMode="External"/><Relationship Id="rId13" Type="http://schemas.openxmlformats.org/officeDocument/2006/relationships/hyperlink" Target="https://vizier.cds.unistra.fr/viz-bin/VizieR-4?-c=050.41250%2b10.00094&amp;-c.rs=5&amp;-out.add=_r&amp;-sort=_r&amp;-out.max=$4" TargetMode="External"/><Relationship Id="rId57" Type="http://schemas.openxmlformats.org/officeDocument/2006/relationships/drawing" Target="../drawings/drawing3.xml"/><Relationship Id="rId12" Type="http://schemas.openxmlformats.org/officeDocument/2006/relationships/hyperlink" Target="https://gcn.nasa.gov/circulars/events/grb-220404a?view=group&amp;query=GRB+220404A" TargetMode="External"/><Relationship Id="rId56" Type="http://schemas.openxmlformats.org/officeDocument/2006/relationships/hyperlink" Target="https://ui.adsabs.harvard.edu/abs/2025PhRvD.112b3022K/abstract" TargetMode="External"/><Relationship Id="rId15" Type="http://schemas.openxmlformats.org/officeDocument/2006/relationships/hyperlink" Target="https://gcn.nasa.gov/circulars/events/grb-220408b?view=group&amp;query=220408B" TargetMode="External"/><Relationship Id="rId14" Type="http://schemas.openxmlformats.org/officeDocument/2006/relationships/hyperlink" Target="https://grandma-owncloud.ijclab.in2p3.fr/index.php/apps/files/?dir=/Candidates/GRB/GRB220408_1101675_SWIFT&amp;fileid=441990" TargetMode="External"/><Relationship Id="rId17" Type="http://schemas.openxmlformats.org/officeDocument/2006/relationships/hyperlink" Target="https://grandma-owncloud.ijclab.in2p3.fr/index.php/apps/files/?dir=/Candidates/GRB/GRB220412_1102281_SWIFT&amp;fileid=449765" TargetMode="External"/><Relationship Id="rId16" Type="http://schemas.openxmlformats.org/officeDocument/2006/relationships/hyperlink" Target="https://vizier.cds.unistra.fr/viz-bin/VizieR-4?-c=202.41658%2b47.06911&amp;-c.rs=5&amp;-out.add=_r&amp;-sort=_r&amp;-out.max=$4" TargetMode="External"/><Relationship Id="rId19" Type="http://schemas.openxmlformats.org/officeDocument/2006/relationships/hyperlink" Target="https://vizier.cds.unistra.fr/viz-bin/VizieR-4?-c=123.96813%2b30.34292&amp;-c.rs=5&amp;-out.add=_r&amp;-sort=_r&amp;-out.max=$4" TargetMode="External"/><Relationship Id="rId18" Type="http://schemas.openxmlformats.org/officeDocument/2006/relationships/hyperlink" Target="https://gcn.nasa.gov/circulars/events/grb-220412a?view=group&amp;query=220412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vizier.cds.unistra.fr/viz-bin/VizieR-4?-c=275.88833-56.25511&amp;-c.rs=5&amp;-out.add=_r&amp;-sort=_r&amp;-out.max=$4" TargetMode="External"/><Relationship Id="rId42" Type="http://schemas.openxmlformats.org/officeDocument/2006/relationships/hyperlink" Target="https://vizier.cds.unistra.fr/viz-bin/VizieR-4?-c=147.6670%2b13.1472&amp;-c.rs=5&amp;-out.add=_r&amp;-sort=_r&amp;-out.max=$4" TargetMode="External"/><Relationship Id="rId41" Type="http://schemas.openxmlformats.org/officeDocument/2006/relationships/hyperlink" Target="https://vizier.cds.unistra.fr/viz-bin/VizieR-4?-c=097.61208%2b09.54753&amp;-c.rs=5&amp;-out.add=_r&amp;-sort=_r&amp;-out.max=$4" TargetMode="External"/><Relationship Id="rId44" Type="http://schemas.openxmlformats.org/officeDocument/2006/relationships/hyperlink" Target="https://vizier.cds.unistra.fr/viz-bin/VizieR-4?-c=029.09921-27.29569&amp;-c.rs=5&amp;-out.add=_r&amp;-sort=_r&amp;-out.max=$4" TargetMode="External"/><Relationship Id="rId43" Type="http://schemas.openxmlformats.org/officeDocument/2006/relationships/hyperlink" Target="https://vizier.cds.unistra.fr/viz-bin/VizieR-4?-c=147.664082%2b13.166517&amp;-c.rs=5&amp;-out.add=_r&amp;-sort=_r&amp;-out.max=$4" TargetMode="External"/><Relationship Id="rId46" Type="http://schemas.openxmlformats.org/officeDocument/2006/relationships/hyperlink" Target="https://vizier.cds.unistra.fr/viz-bin/VizieR-4?-c=169.74062%2b33.04200&amp;-c.rs=5&amp;-out.add=_r&amp;-sort=_r&amp;-out.max=$4" TargetMode="External"/><Relationship Id="rId45" Type="http://schemas.openxmlformats.org/officeDocument/2006/relationships/hyperlink" Target="https://vizier.cds.unistra.fr/viz-bin/VizieR-4?-c=314.20267%2b41.08981&amp;-c.rs=5&amp;-out.add=_r&amp;-sort=_r&amp;-out.max=$4" TargetMode="External"/><Relationship Id="rId1" Type="http://schemas.openxmlformats.org/officeDocument/2006/relationships/hyperlink" Target="https://grandma-owncloud.lal.in2p3.fr/index.php/apps/files?dir=/Candidates/GRB/GRB250114A" TargetMode="External"/><Relationship Id="rId2" Type="http://schemas.openxmlformats.org/officeDocument/2006/relationships/hyperlink" Target="https://vizier.cds.unistra.fr/viz-bin/VizieR-4?-c=166.5981013835738-15.1336452871456&amp;-c.rs=5&amp;-out.add=_r&amp;-sort=_r&amp;-out.max=$4" TargetMode="External"/><Relationship Id="rId3" Type="http://schemas.openxmlformats.org/officeDocument/2006/relationships/hyperlink" Target="https://grandma-owncloud.lal.in2p3.fr/index.php/apps/files?dir=/Candidates/GRB/GRB250215A" TargetMode="External"/><Relationship Id="rId4" Type="http://schemas.openxmlformats.org/officeDocument/2006/relationships/hyperlink" Target="https://grandma-owncloud.lal.in2p3.fr/index.php/apps/files?dir=/Candidates/GRB/GRB250219A" TargetMode="External"/><Relationship Id="rId9" Type="http://schemas.openxmlformats.org/officeDocument/2006/relationships/hyperlink" Target="https://grandma-owncloud.lal.in2p3.fr/index.php/apps/files?dir=/Candidates/GRB/GRB250322A" TargetMode="External"/><Relationship Id="rId48" Type="http://schemas.openxmlformats.org/officeDocument/2006/relationships/hyperlink" Target="https://vizier.cds.unistra.fr/viz-bin/VizieR-4?-c=288.264592%2b19.773406&amp;-c.rs=5&amp;-out.add=_r&amp;-sort=_r&amp;-out.max=$4" TargetMode="External"/><Relationship Id="rId47" Type="http://schemas.openxmlformats.org/officeDocument/2006/relationships/hyperlink" Target="https://vizier.cds.unistra.fr/viz-bin/VizieR-4?-c=288.26604%2b19.77297&amp;-c.rs=5&amp;-out.add=_r&amp;-sort=_r&amp;-out.max=$4" TargetMode="External"/><Relationship Id="rId49" Type="http://schemas.openxmlformats.org/officeDocument/2006/relationships/drawing" Target="../drawings/drawing4.xml"/><Relationship Id="rId5" Type="http://schemas.openxmlformats.org/officeDocument/2006/relationships/hyperlink" Target="https://vizier.cds.unistra.fr/viz-bin/VizieR-4?-c=173.2654%2b22.6642&amp;-c.rs=5&amp;-out.add=_r&amp;-sort=_r&amp;-out.max=$4" TargetMode="External"/><Relationship Id="rId6" Type="http://schemas.openxmlformats.org/officeDocument/2006/relationships/hyperlink" Target="https://grandma-owncloud.lal.in2p3.fr/index.php/apps/files?dir=/Candidates/GRB/GRB250221A" TargetMode="External"/><Relationship Id="rId7" Type="http://schemas.openxmlformats.org/officeDocument/2006/relationships/hyperlink" Target="https://grandma-owncloud.lal.in2p3.fr/index.php/apps/files?dir=/Candidates/GRB/GRB250317B" TargetMode="External"/><Relationship Id="rId8" Type="http://schemas.openxmlformats.org/officeDocument/2006/relationships/hyperlink" Target="https://grandma-owncloud.lal.in2p3.fr/index.php/apps/files?dir=/Candidates/GRB/GRB250321A" TargetMode="External"/><Relationship Id="rId31" Type="http://schemas.openxmlformats.org/officeDocument/2006/relationships/hyperlink" Target="https://vizier.cds.unistra.fr/viz-bin/VizieR-4?-c=327.9126532900538-56.6519543183511&amp;-c.rs=5&amp;-out.add=_r&amp;-sort=_r&amp;-out.max=$4" TargetMode="External"/><Relationship Id="rId30" Type="http://schemas.openxmlformats.org/officeDocument/2006/relationships/hyperlink" Target="https://vizier.cds.unistra.fr/viz-bin/VizieR-4?-c=327.9126532900538-56.6519543183511&amp;-c.rs=5&amp;-out.add=_r&amp;-sort=_r&amp;-out.max=$4" TargetMode="External"/><Relationship Id="rId33" Type="http://schemas.openxmlformats.org/officeDocument/2006/relationships/hyperlink" Target="https://vizier.cds.unistra.fr/viz-bin/VizieR-4?-c=218.21484%2b61.27079&amp;-c.rs=5&amp;-out.add=_r&amp;-sort=_r&amp;-out.max=$4" TargetMode="External"/><Relationship Id="rId32" Type="http://schemas.openxmlformats.org/officeDocument/2006/relationships/hyperlink" Target="https://vizier.cds.unistra.fr/viz-bin/VizieR-4?-c=218.22442%2b61.29536&amp;-c.rs=5&amp;-out.add=_r&amp;-sort=_r&amp;-out.max=$4" TargetMode="External"/><Relationship Id="rId35" Type="http://schemas.openxmlformats.org/officeDocument/2006/relationships/hyperlink" Target="https://vizier.cds.unistra.fr/viz-bin/VizieR-4?-c=050.41250%2b10.00094&amp;-c.rs=5&amp;-out.add=_r&amp;-sort=_r&amp;-out.max=$4" TargetMode="External"/><Relationship Id="rId34" Type="http://schemas.openxmlformats.org/officeDocument/2006/relationships/hyperlink" Target="https://vizier.cds.unistra.fr/viz-bin/VizieR-4?-c=269.48750-07.03592&amp;-c.rs=5&amp;-out.add=_r&amp;-sort=_r&amp;-out.max=$4" TargetMode="External"/><Relationship Id="rId37" Type="http://schemas.openxmlformats.org/officeDocument/2006/relationships/hyperlink" Target="https://vizier.cds.unistra.fr/viz-bin/VizieR-4?-c=123.96813%2b30.34292&amp;-c.rs=5&amp;-out.add=_r&amp;-sort=_r&amp;-out.max=$4" TargetMode="External"/><Relationship Id="rId36" Type="http://schemas.openxmlformats.org/officeDocument/2006/relationships/hyperlink" Target="https://vizier.cds.unistra.fr/viz-bin/VizieR-4?-c=202.41658%2b47.06911&amp;-c.rs=5&amp;-out.add=_r&amp;-sort=_r&amp;-out.max=$4" TargetMode="External"/><Relationship Id="rId39" Type="http://schemas.openxmlformats.org/officeDocument/2006/relationships/hyperlink" Target="https://vizier.cds.unistra.fr/viz-bin/VizieR-4?-c=320.7611651-00.2792510&amp;-c.rs=5&amp;-out.add=_r&amp;-sort=_r&amp;-out.max=$4" TargetMode="External"/><Relationship Id="rId38" Type="http://schemas.openxmlformats.org/officeDocument/2006/relationships/hyperlink" Target="https://vizier.cds.unistra.fr/viz-bin/VizieR-4?-c=123.9708%2b30.3433&amp;-c.rs=5&amp;-out.add=_r&amp;-sort=_r&amp;-out.max=$4" TargetMode="External"/><Relationship Id="rId20" Type="http://schemas.openxmlformats.org/officeDocument/2006/relationships/hyperlink" Target="https://grandma-owncloud.lal.in2p3.fr/index.php/apps/files?dir=/Candidates/GRB/GRB250813B" TargetMode="External"/><Relationship Id="rId22" Type="http://schemas.openxmlformats.org/officeDocument/2006/relationships/hyperlink" Target="https://vizier.cds.unistra.fr/viz-bin/VizieR-4?-c=345.8595967182900-00.2170208341900&amp;-c.rs=5&amp;-out.add=_r&amp;-sort=_r&amp;-out.max=$4" TargetMode="External"/><Relationship Id="rId21" Type="http://schemas.openxmlformats.org/officeDocument/2006/relationships/hyperlink" Target="https://grandma-owncloud.lal.in2p3.fr/index.php/apps/files?dir=/Candidates/GRB/GRB250818B" TargetMode="External"/><Relationship Id="rId24" Type="http://schemas.openxmlformats.org/officeDocument/2006/relationships/hyperlink" Target="https://vizier.cds.unistra.fr/viz-bin/VizieR-4?-c=005.2483-36.5000&amp;-c.rs=5&amp;-out.add=_r&amp;-sort=_r&amp;-out.max=$4" TargetMode="External"/><Relationship Id="rId23" Type="http://schemas.openxmlformats.org/officeDocument/2006/relationships/hyperlink" Target="https://vizier.cds.unistra.fr/viz-bin/VizieR-4?-c=148.98754%2b69.68231&amp;-c.rs=5&amp;-out.add=_r&amp;-sort=_r&amp;-out.max=$4" TargetMode="External"/><Relationship Id="rId26" Type="http://schemas.openxmlformats.org/officeDocument/2006/relationships/hyperlink" Target="https://vizier.cds.unistra.fr/viz-bin/VizieR-4?-c=124.63189683%2b34.01989769&amp;-c.rs=5&amp;-out.add=_r&amp;-sort=_r&amp;-out.max=$4" TargetMode="External"/><Relationship Id="rId25" Type="http://schemas.openxmlformats.org/officeDocument/2006/relationships/hyperlink" Target="https://vizier.cds.unistra.fr/viz-bin/VizieR-4?-c=345.806671%2b35.518050&amp;-c.rs=5&amp;-out.add=_r&amp;-sort=_r&amp;-out.max=$4" TargetMode="External"/><Relationship Id="rId28" Type="http://schemas.openxmlformats.org/officeDocument/2006/relationships/hyperlink" Target="https://vizier.cds.unistra.fr/viz-bin/VizieR-4?-c=067.92985%2b42.99326&amp;-c.rs=5&amp;-out.add=_r&amp;-sort=_r&amp;-out.max=$4" TargetMode="External"/><Relationship Id="rId27" Type="http://schemas.openxmlformats.org/officeDocument/2006/relationships/hyperlink" Target="https://vizier.cds.unistra.fr/viz-bin/VizieR-4?-c=351.2721%2b21.3350&amp;-c.rs=5&amp;-out.add=_r&amp;-sort=_r&amp;-out.max=$4" TargetMode="External"/><Relationship Id="rId29" Type="http://schemas.openxmlformats.org/officeDocument/2006/relationships/hyperlink" Target="https://vizier.cds.unistra.fr/viz-bin/VizieR-4?-c=293.4008%2b57.9857&amp;-c.rs=5&amp;-out.add=_r&amp;-sort=_r&amp;-out.max=$4" TargetMode="External"/><Relationship Id="rId11" Type="http://schemas.openxmlformats.org/officeDocument/2006/relationships/hyperlink" Target="https://vizier.cds.unistra.fr/viz-bin/VizieR-4?-c=176.760765%2b29.817995&amp;-c.rs=5&amp;-out.add=_r&amp;-sort=_r&amp;-out.max=$4" TargetMode="External"/><Relationship Id="rId10" Type="http://schemas.openxmlformats.org/officeDocument/2006/relationships/hyperlink" Target="https://grandma-owncloud.lal.in2p3.fr/index.php/apps/files?dir=/Candidates/GRB/GRB250327B" TargetMode="External"/><Relationship Id="rId13" Type="http://schemas.openxmlformats.org/officeDocument/2006/relationships/hyperlink" Target="https://grandma-owncloud.lal.in2p3.fr/index.php/apps/files?dir=/Candidates/GRB/GRB250617B" TargetMode="External"/><Relationship Id="rId12" Type="http://schemas.openxmlformats.org/officeDocument/2006/relationships/hyperlink" Target="https://grandma-owncloud.lal.in2p3.fr/index.php/apps/files?dir=/Candidates/GRB/GRB%20250403A" TargetMode="External"/><Relationship Id="rId15" Type="http://schemas.openxmlformats.org/officeDocument/2006/relationships/hyperlink" Target="https://vizier.cds.unistra.fr/viz-bin/VizieR-4?-c=038.52175-38.09533&amp;-c.rs=5&amp;-out.add=_r&amp;-sort=_r&amp;-out.max=$4" TargetMode="External"/><Relationship Id="rId14" Type="http://schemas.openxmlformats.org/officeDocument/2006/relationships/hyperlink" Target="https://grandma-owncloud.lal.in2p3.fr/index.php/apps/files?dir=/Candidates/GRB/GRB250628A" TargetMode="External"/><Relationship Id="rId17" Type="http://schemas.openxmlformats.org/officeDocument/2006/relationships/hyperlink" Target="https://grandma-owncloud.ijclab.in2p3.fr/index.php/apps/files?dir=/Candidates/GRB/GRB250704A&amp;fileid=1269007" TargetMode="External"/><Relationship Id="rId16" Type="http://schemas.openxmlformats.org/officeDocument/2006/relationships/hyperlink" Target="https://grandma-owncloud.lal.in2p3.fr/index.php/apps/files?dir=/Candidates/GRB/GRB250702F" TargetMode="External"/><Relationship Id="rId19" Type="http://schemas.openxmlformats.org/officeDocument/2006/relationships/hyperlink" Target="https://grandma-owncloud.lal.in2p3.fr/index.php/apps/files?dir=/Candidates/GRB/GRB250718A" TargetMode="External"/><Relationship Id="rId18" Type="http://schemas.openxmlformats.org/officeDocument/2006/relationships/hyperlink" Target="https://vizier.cds.unistra.fr/viz-bin/VizieR-4?-c=017.1992-17.3061&amp;-c.rs=5&amp;-out.add=_r&amp;-sort=_r&amp;-out.max=$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randma-owncloud.lal.in2p3.fr/index.php/apps/files?dir=/Candidates/GRB/GRB250114A" TargetMode="External"/><Relationship Id="rId2" Type="http://schemas.openxmlformats.org/officeDocument/2006/relationships/hyperlink" Target="https://grandma-owncloud.lal.in2p3.fr/index.php/apps/files?dir=/Candidates/GRB/GRB250219A" TargetMode="External"/><Relationship Id="rId3" Type="http://schemas.openxmlformats.org/officeDocument/2006/relationships/hyperlink" Target="https://grandma-owncloud.lal.in2p3.fr/index.php/apps/files?dir=/Candidates/GRB/GRB250327B" TargetMode="External"/><Relationship Id="rId4" Type="http://schemas.openxmlformats.org/officeDocument/2006/relationships/hyperlink" Target="https://grandma-owncloud.lal.in2p3.fr/index.php/apps/files?dir=/Candidates/GRB/GRB250628A" TargetMode="External"/><Relationship Id="rId5" Type="http://schemas.openxmlformats.org/officeDocument/2006/relationships/hyperlink" Target="https://grandma-owncloud.ijclab.in2p3.fr/index.php/apps/files?dir=/Candidates/GRB/GRB250704A&amp;fileid=1269007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randma-owncloud.ijclab.in2p3.fr/index.php/apps/files?dir=/Candidates/GRB/GRB250704A&amp;fileid=1269007" TargetMode="External"/><Relationship Id="rId2" Type="http://schemas.openxmlformats.org/officeDocument/2006/relationships/hyperlink" Target="https://grandma-owncloud.lal.in2p3.fr/index.php/apps/files?dir=/Candidates/GRB/GRB250219A" TargetMode="External"/><Relationship Id="rId3" Type="http://schemas.openxmlformats.org/officeDocument/2006/relationships/hyperlink" Target="https://grandma-owncloud.lal.in2p3.fr/index.php/apps/files?dir=/Candidates/GRB/GRB250114A" TargetMode="External"/><Relationship Id="rId4" Type="http://schemas.openxmlformats.org/officeDocument/2006/relationships/hyperlink" Target="https://grandma-owncloud.lal.in2p3.fr/index.php/apps/files?dir=/Candidates/GRB/GRB250327B" TargetMode="External"/><Relationship Id="rId9" Type="http://schemas.openxmlformats.org/officeDocument/2006/relationships/hyperlink" Target="https://grandma-owncloud.ijclab.in2p3.fr/index.php/apps/files?dir=/Candidates/GRB/GRB250704A&amp;fileid=1269007" TargetMode="External"/><Relationship Id="rId5" Type="http://schemas.openxmlformats.org/officeDocument/2006/relationships/hyperlink" Target="https://grandma-owncloud.lal.in2p3.fr/index.php/apps/files?dir=/Candidates/GRB/GRB250628A" TargetMode="External"/><Relationship Id="rId6" Type="http://schemas.openxmlformats.org/officeDocument/2006/relationships/hyperlink" Target="https://grandma-owncloud.lal.in2p3.fr/index.php/apps/files?dir=/Candidates/GRB/GRB250219A" TargetMode="External"/><Relationship Id="rId7" Type="http://schemas.openxmlformats.org/officeDocument/2006/relationships/hyperlink" Target="https://grandma-owncloud.lal.in2p3.fr/index.php/apps/files?dir=/Candidates/GRB/GRB250114A" TargetMode="External"/><Relationship Id="rId8" Type="http://schemas.openxmlformats.org/officeDocument/2006/relationships/hyperlink" Target="https://grandma-owncloud.lal.in2p3.fr/index.php/apps/files?dir=/Candidates/GRB/GRB250628A" TargetMode="External"/><Relationship Id="rId11" Type="http://schemas.openxmlformats.org/officeDocument/2006/relationships/hyperlink" Target="https://grandma-owncloud.lal.in2p3.fr/index.php/apps/files?dir=/Candidates/GRB/GRB250219A" TargetMode="External"/><Relationship Id="rId10" Type="http://schemas.openxmlformats.org/officeDocument/2006/relationships/hyperlink" Target="https://grandma-owncloud.ijclab.in2p3.fr/index.php/apps/files?dir=/Candidates/GRB/GRB250704A&amp;fileid=1269007" TargetMode="External"/><Relationship Id="rId13" Type="http://schemas.openxmlformats.org/officeDocument/2006/relationships/hyperlink" Target="https://grandma-owncloud.lal.in2p3.fr/index.php/apps/files?dir=/Candidates/GRB/GRB250628A" TargetMode="External"/><Relationship Id="rId12" Type="http://schemas.openxmlformats.org/officeDocument/2006/relationships/hyperlink" Target="https://grandma-owncloud.lal.in2p3.fr/index.php/apps/files?dir=/Candidates/GRB/GRB250114A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grandma-owncloud.lal.in2p3.fr/index.php/apps/files?dir=/Candidates/GRB/GRB250327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8" max="8" width="15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1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</row>
    <row r="2">
      <c r="A2" s="4" t="s">
        <v>29</v>
      </c>
      <c r="B2" s="5" t="s">
        <v>30</v>
      </c>
      <c r="C2" s="4" t="s">
        <v>29</v>
      </c>
      <c r="D2" s="6" t="s">
        <v>31</v>
      </c>
      <c r="E2" s="6" t="s">
        <v>32</v>
      </c>
      <c r="F2" s="6" t="s">
        <v>33</v>
      </c>
      <c r="G2" s="5" t="s">
        <v>34</v>
      </c>
      <c r="H2" s="7" t="s">
        <v>35</v>
      </c>
      <c r="I2" s="6" t="s">
        <v>36</v>
      </c>
      <c r="J2" s="7" t="s">
        <v>37</v>
      </c>
      <c r="K2" s="6" t="s">
        <v>38</v>
      </c>
      <c r="L2" s="8">
        <v>4.732</v>
      </c>
      <c r="M2" s="9">
        <v>166.572</v>
      </c>
      <c r="N2" s="8">
        <v>-15.129</v>
      </c>
      <c r="O2" s="6">
        <v>7.0</v>
      </c>
      <c r="P2" s="6" t="s">
        <v>39</v>
      </c>
      <c r="Q2" s="6" t="s">
        <v>40</v>
      </c>
      <c r="R2" s="6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42</v>
      </c>
      <c r="X2" s="10" t="s">
        <v>46</v>
      </c>
      <c r="Y2" s="11"/>
      <c r="Z2" s="12" t="s">
        <v>47</v>
      </c>
      <c r="AA2" s="11"/>
      <c r="AB2" s="11" t="s">
        <v>48</v>
      </c>
      <c r="AC2" s="13"/>
    </row>
    <row r="3">
      <c r="A3" s="11" t="s">
        <v>49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1">
        <v>198.708</v>
      </c>
      <c r="N3" s="11">
        <v>5.029</v>
      </c>
      <c r="O3" s="13"/>
      <c r="P3" s="13"/>
      <c r="Q3" s="13"/>
      <c r="R3" s="13"/>
      <c r="S3" s="13"/>
      <c r="T3" s="13"/>
      <c r="U3" s="13"/>
      <c r="V3" s="13"/>
      <c r="W3" s="11" t="s">
        <v>50</v>
      </c>
      <c r="X3" s="13"/>
      <c r="Y3" s="13"/>
      <c r="Z3" s="13"/>
      <c r="AA3" s="13"/>
      <c r="AB3" s="13"/>
      <c r="AC3" s="13"/>
    </row>
    <row r="4">
      <c r="A4" s="14" t="s">
        <v>51</v>
      </c>
      <c r="B4" s="12" t="s">
        <v>52</v>
      </c>
      <c r="C4" s="15" t="s">
        <v>51</v>
      </c>
      <c r="D4" s="11" t="s">
        <v>53</v>
      </c>
      <c r="E4" s="11" t="s">
        <v>54</v>
      </c>
      <c r="F4" s="16" t="s">
        <v>55</v>
      </c>
      <c r="G4" s="12" t="s">
        <v>56</v>
      </c>
      <c r="H4" s="17" t="s">
        <v>57</v>
      </c>
      <c r="I4" s="11" t="s">
        <v>58</v>
      </c>
      <c r="J4" s="17" t="s">
        <v>59</v>
      </c>
      <c r="K4" s="11" t="s">
        <v>60</v>
      </c>
      <c r="L4" s="16">
        <v>4.61</v>
      </c>
      <c r="M4" s="18" t="s">
        <v>61</v>
      </c>
      <c r="N4" s="11" t="s">
        <v>62</v>
      </c>
      <c r="O4" s="11">
        <v>1.0</v>
      </c>
      <c r="P4" s="11" t="s">
        <v>63</v>
      </c>
      <c r="Q4" s="11" t="s">
        <v>64</v>
      </c>
      <c r="R4" s="11" t="s">
        <v>65</v>
      </c>
      <c r="S4" s="11" t="s">
        <v>42</v>
      </c>
      <c r="T4" s="19" t="s">
        <v>66</v>
      </c>
      <c r="U4" s="11" t="s">
        <v>42</v>
      </c>
      <c r="V4" s="11" t="s">
        <v>42</v>
      </c>
      <c r="W4" s="11" t="s">
        <v>42</v>
      </c>
      <c r="X4" s="11" t="s">
        <v>67</v>
      </c>
      <c r="Y4" s="11"/>
      <c r="Z4" s="11"/>
      <c r="AA4" s="11"/>
      <c r="AB4" s="13"/>
      <c r="AC4" s="13"/>
    </row>
    <row r="5">
      <c r="A5" s="20" t="s">
        <v>68</v>
      </c>
      <c r="B5" s="12" t="s">
        <v>69</v>
      </c>
      <c r="C5" s="21" t="s">
        <v>68</v>
      </c>
      <c r="D5" s="11" t="s">
        <v>70</v>
      </c>
      <c r="E5" s="11" t="s">
        <v>71</v>
      </c>
      <c r="F5" s="11" t="s">
        <v>72</v>
      </c>
      <c r="G5" s="12" t="s">
        <v>73</v>
      </c>
      <c r="H5" s="11" t="s">
        <v>74</v>
      </c>
      <c r="I5" s="11" t="s">
        <v>75</v>
      </c>
      <c r="J5" s="11" t="s">
        <v>75</v>
      </c>
      <c r="K5" s="11" t="s">
        <v>76</v>
      </c>
      <c r="L5" s="11" t="s">
        <v>77</v>
      </c>
      <c r="M5" s="22">
        <v>173.278</v>
      </c>
      <c r="N5" s="22">
        <v>22.684</v>
      </c>
      <c r="O5" s="11">
        <v>3.0</v>
      </c>
      <c r="P5" s="11" t="s">
        <v>78</v>
      </c>
      <c r="Q5" s="11" t="s">
        <v>64</v>
      </c>
      <c r="R5" s="11" t="s">
        <v>79</v>
      </c>
      <c r="S5" s="11" t="s">
        <v>42</v>
      </c>
      <c r="T5" s="23" t="s">
        <v>80</v>
      </c>
      <c r="U5" s="11" t="s">
        <v>42</v>
      </c>
      <c r="V5" s="11" t="s">
        <v>42</v>
      </c>
      <c r="W5" s="11" t="s">
        <v>42</v>
      </c>
      <c r="X5" s="11" t="s">
        <v>46</v>
      </c>
      <c r="Y5" s="13"/>
      <c r="Z5" s="12" t="s">
        <v>81</v>
      </c>
      <c r="AA5" s="13"/>
      <c r="AB5" s="11" t="s">
        <v>82</v>
      </c>
      <c r="AC5" s="13"/>
    </row>
    <row r="6">
      <c r="A6" s="24" t="s">
        <v>83</v>
      </c>
      <c r="B6" s="5" t="s">
        <v>84</v>
      </c>
      <c r="C6" s="24" t="s">
        <v>83</v>
      </c>
      <c r="D6" s="6" t="s">
        <v>85</v>
      </c>
      <c r="E6" s="6" t="s">
        <v>32</v>
      </c>
      <c r="F6" s="25" t="s">
        <v>86</v>
      </c>
      <c r="G6" s="5" t="s">
        <v>87</v>
      </c>
      <c r="H6" s="6" t="s">
        <v>88</v>
      </c>
      <c r="I6" s="6" t="s">
        <v>89</v>
      </c>
      <c r="J6" s="6" t="s">
        <v>90</v>
      </c>
      <c r="K6" s="6" t="s">
        <v>91</v>
      </c>
      <c r="L6" s="25">
        <v>0.768</v>
      </c>
      <c r="M6" s="26">
        <v>59.476667</v>
      </c>
      <c r="N6" s="6">
        <v>-15.136611</v>
      </c>
      <c r="O6" s="6">
        <v>21.0</v>
      </c>
      <c r="P6" s="27" t="s">
        <v>92</v>
      </c>
      <c r="Q6" s="6" t="s">
        <v>40</v>
      </c>
      <c r="R6" s="6" t="s">
        <v>93</v>
      </c>
      <c r="S6" s="6" t="s">
        <v>42</v>
      </c>
      <c r="T6" s="28" t="s">
        <v>43</v>
      </c>
      <c r="U6" s="28" t="s">
        <v>44</v>
      </c>
      <c r="V6" s="29" t="s">
        <v>94</v>
      </c>
      <c r="W6" s="30" t="s">
        <v>95</v>
      </c>
      <c r="X6" s="6" t="s">
        <v>96</v>
      </c>
      <c r="Y6" s="31"/>
      <c r="Z6" s="31"/>
      <c r="AA6" s="31"/>
      <c r="AB6" s="31"/>
      <c r="AC6" s="31"/>
      <c r="AD6" s="32"/>
      <c r="AE6" s="32"/>
    </row>
    <row r="7">
      <c r="A7" s="11" t="s">
        <v>97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1">
        <v>3.315</v>
      </c>
      <c r="M7" s="11">
        <v>224.2651</v>
      </c>
      <c r="N7" s="11">
        <v>20.9756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5" t="s">
        <v>98</v>
      </c>
      <c r="B8" s="12" t="s">
        <v>99</v>
      </c>
      <c r="C8" s="15" t="s">
        <v>98</v>
      </c>
      <c r="D8" s="11" t="s">
        <v>100</v>
      </c>
      <c r="E8" s="11" t="s">
        <v>101</v>
      </c>
      <c r="F8" s="33" t="s">
        <v>102</v>
      </c>
      <c r="G8" s="34" t="s">
        <v>103</v>
      </c>
      <c r="H8" s="11" t="s">
        <v>104</v>
      </c>
      <c r="I8" s="11" t="s">
        <v>75</v>
      </c>
      <c r="J8" s="11" t="s">
        <v>75</v>
      </c>
      <c r="K8" s="11" t="s">
        <v>105</v>
      </c>
      <c r="L8" s="33">
        <v>3.44</v>
      </c>
      <c r="M8" s="22">
        <v>211.64367</v>
      </c>
      <c r="N8" s="22">
        <v>40.07953</v>
      </c>
      <c r="O8" s="11">
        <v>4.0</v>
      </c>
      <c r="P8" s="11" t="s">
        <v>106</v>
      </c>
      <c r="Q8" s="11" t="s">
        <v>64</v>
      </c>
      <c r="R8" s="11" t="s">
        <v>79</v>
      </c>
      <c r="S8" s="11" t="s">
        <v>42</v>
      </c>
      <c r="T8" s="35" t="s">
        <v>107</v>
      </c>
      <c r="U8" s="11" t="s">
        <v>42</v>
      </c>
      <c r="V8" s="11" t="s">
        <v>42</v>
      </c>
      <c r="W8" s="13"/>
      <c r="X8" s="11" t="s">
        <v>108</v>
      </c>
      <c r="Y8" s="13"/>
      <c r="Z8" s="13"/>
      <c r="AA8" s="13"/>
      <c r="AB8" s="13"/>
      <c r="AC8" s="13"/>
    </row>
    <row r="9">
      <c r="A9" s="36" t="s">
        <v>109</v>
      </c>
      <c r="B9" s="12" t="s">
        <v>110</v>
      </c>
      <c r="C9" s="36" t="s">
        <v>109</v>
      </c>
      <c r="D9" s="11" t="s">
        <v>111</v>
      </c>
      <c r="E9" s="11" t="s">
        <v>112</v>
      </c>
      <c r="F9" s="37" t="s">
        <v>113</v>
      </c>
      <c r="G9" s="12" t="s">
        <v>114</v>
      </c>
      <c r="H9" s="18" t="s">
        <v>115</v>
      </c>
      <c r="I9" s="11" t="s">
        <v>116</v>
      </c>
      <c r="J9" s="11" t="s">
        <v>117</v>
      </c>
      <c r="K9" s="11" t="s">
        <v>75</v>
      </c>
      <c r="L9" s="11" t="s">
        <v>75</v>
      </c>
      <c r="M9" s="38">
        <v>295.1</v>
      </c>
      <c r="N9" s="38">
        <v>21.055</v>
      </c>
      <c r="O9" s="11">
        <v>1.0</v>
      </c>
      <c r="P9" s="11" t="s">
        <v>118</v>
      </c>
      <c r="Q9" s="11" t="s">
        <v>119</v>
      </c>
      <c r="R9" s="11" t="s">
        <v>120</v>
      </c>
      <c r="S9" s="11" t="s">
        <v>42</v>
      </c>
      <c r="T9" s="39" t="s">
        <v>43</v>
      </c>
      <c r="U9" s="11" t="s">
        <v>42</v>
      </c>
      <c r="V9" s="11" t="s">
        <v>42</v>
      </c>
      <c r="W9" s="13"/>
      <c r="X9" s="11" t="s">
        <v>108</v>
      </c>
      <c r="Y9" s="13"/>
      <c r="Z9" s="13"/>
      <c r="AA9" s="13"/>
      <c r="AB9" s="11" t="s">
        <v>121</v>
      </c>
      <c r="AC9" s="13"/>
    </row>
    <row r="10">
      <c r="A10" s="36" t="s">
        <v>122</v>
      </c>
      <c r="B10" s="12" t="s">
        <v>123</v>
      </c>
      <c r="C10" s="36" t="s">
        <v>122</v>
      </c>
      <c r="D10" s="11" t="s">
        <v>124</v>
      </c>
      <c r="E10" s="11" t="s">
        <v>125</v>
      </c>
      <c r="F10" s="11" t="s">
        <v>75</v>
      </c>
      <c r="G10" s="12" t="s">
        <v>126</v>
      </c>
      <c r="H10" s="40" t="s">
        <v>127</v>
      </c>
      <c r="I10" s="11" t="s">
        <v>128</v>
      </c>
      <c r="J10" s="11" t="s">
        <v>129</v>
      </c>
      <c r="K10" s="11" t="s">
        <v>75</v>
      </c>
      <c r="L10" s="37" t="s">
        <v>130</v>
      </c>
      <c r="M10" s="22">
        <v>106.76025</v>
      </c>
      <c r="N10" s="22">
        <v>7.19285</v>
      </c>
      <c r="O10" s="11">
        <v>1.0</v>
      </c>
      <c r="P10" s="11" t="s">
        <v>131</v>
      </c>
      <c r="Q10" s="11" t="s">
        <v>64</v>
      </c>
      <c r="R10" s="11" t="s">
        <v>132</v>
      </c>
      <c r="S10" s="11" t="s">
        <v>42</v>
      </c>
      <c r="T10" s="13"/>
      <c r="U10" s="13"/>
      <c r="V10" s="13"/>
      <c r="W10" s="13"/>
      <c r="X10" s="11" t="s">
        <v>108</v>
      </c>
      <c r="Y10" s="13"/>
      <c r="Z10" s="13"/>
      <c r="AA10" s="13"/>
      <c r="AB10" s="11" t="s">
        <v>133</v>
      </c>
      <c r="AC10" s="13"/>
    </row>
    <row r="11">
      <c r="A11" s="41" t="s">
        <v>134</v>
      </c>
      <c r="B11" s="42"/>
      <c r="C11" s="24" t="s">
        <v>134</v>
      </c>
      <c r="D11" s="6" t="s">
        <v>135</v>
      </c>
      <c r="E11" s="6" t="s">
        <v>136</v>
      </c>
      <c r="F11" s="25" t="s">
        <v>137</v>
      </c>
      <c r="G11" s="30" t="s">
        <v>138</v>
      </c>
      <c r="H11" s="6" t="s">
        <v>139</v>
      </c>
      <c r="I11" s="6" t="s">
        <v>75</v>
      </c>
      <c r="J11" s="6" t="s">
        <v>75</v>
      </c>
      <c r="K11" s="6" t="s">
        <v>140</v>
      </c>
      <c r="L11" s="25">
        <v>3.035</v>
      </c>
      <c r="M11" s="43">
        <v>0.4910497685185185</v>
      </c>
      <c r="N11" s="44">
        <v>1.2433425925925927</v>
      </c>
      <c r="O11" s="6">
        <v>9.0</v>
      </c>
      <c r="P11" s="6" t="s">
        <v>141</v>
      </c>
      <c r="Q11" s="6" t="s">
        <v>40</v>
      </c>
      <c r="R11" s="6" t="s">
        <v>142</v>
      </c>
      <c r="S11" s="6" t="s">
        <v>42</v>
      </c>
      <c r="T11" s="28" t="s">
        <v>143</v>
      </c>
      <c r="U11" s="28" t="s">
        <v>44</v>
      </c>
      <c r="V11" s="29" t="s">
        <v>144</v>
      </c>
      <c r="W11" s="6" t="s">
        <v>42</v>
      </c>
      <c r="X11" s="6" t="s">
        <v>108</v>
      </c>
      <c r="Y11" s="31"/>
      <c r="Z11" s="5" t="s">
        <v>145</v>
      </c>
      <c r="AA11" s="31"/>
      <c r="AB11" s="42" t="s">
        <v>146</v>
      </c>
      <c r="AC11" s="31"/>
      <c r="AD11" s="32"/>
      <c r="AE11" s="32"/>
    </row>
    <row r="12">
      <c r="A12" s="24" t="s">
        <v>147</v>
      </c>
      <c r="B12" s="30" t="s">
        <v>148</v>
      </c>
      <c r="C12" s="24" t="s">
        <v>147</v>
      </c>
      <c r="D12" s="6" t="s">
        <v>149</v>
      </c>
      <c r="E12" s="6" t="s">
        <v>150</v>
      </c>
      <c r="F12" s="25" t="s">
        <v>151</v>
      </c>
      <c r="G12" s="30" t="s">
        <v>152</v>
      </c>
      <c r="H12" s="45" t="s">
        <v>153</v>
      </c>
      <c r="I12" s="6" t="s">
        <v>75</v>
      </c>
      <c r="J12" s="6" t="s">
        <v>154</v>
      </c>
      <c r="K12" s="46" t="s">
        <v>155</v>
      </c>
      <c r="L12" s="47">
        <v>1.847</v>
      </c>
      <c r="M12" s="48">
        <v>194.6157</v>
      </c>
      <c r="N12" s="26">
        <v>-24.3795</v>
      </c>
      <c r="O12" s="6">
        <v>3.0</v>
      </c>
      <c r="P12" s="6" t="s">
        <v>156</v>
      </c>
      <c r="Q12" s="6" t="s">
        <v>40</v>
      </c>
      <c r="R12" s="6" t="s">
        <v>132</v>
      </c>
      <c r="S12" s="6" t="s">
        <v>42</v>
      </c>
      <c r="T12" s="28" t="s">
        <v>43</v>
      </c>
      <c r="U12" s="28" t="s">
        <v>44</v>
      </c>
      <c r="V12" s="29" t="s">
        <v>42</v>
      </c>
      <c r="W12" s="6"/>
      <c r="X12" s="6" t="s">
        <v>108</v>
      </c>
      <c r="Y12" s="31"/>
      <c r="Z12" s="31"/>
      <c r="AA12" s="31"/>
      <c r="AB12" s="31"/>
      <c r="AC12" s="31"/>
      <c r="AD12" s="32"/>
      <c r="AE12" s="32"/>
    </row>
    <row r="13">
      <c r="A13" s="41" t="s">
        <v>157</v>
      </c>
      <c r="B13" s="30" t="s">
        <v>158</v>
      </c>
      <c r="C13" s="41" t="s">
        <v>157</v>
      </c>
      <c r="D13" s="6" t="s">
        <v>159</v>
      </c>
      <c r="E13" s="6" t="s">
        <v>160</v>
      </c>
      <c r="F13" s="25" t="s">
        <v>161</v>
      </c>
      <c r="G13" s="5" t="s">
        <v>162</v>
      </c>
      <c r="H13" s="49" t="s">
        <v>163</v>
      </c>
      <c r="I13" s="6" t="s">
        <v>164</v>
      </c>
      <c r="J13" s="6" t="s">
        <v>165</v>
      </c>
      <c r="K13" s="45" t="s">
        <v>166</v>
      </c>
      <c r="L13" s="25">
        <v>1.396</v>
      </c>
      <c r="M13" s="26">
        <v>332.89686</v>
      </c>
      <c r="N13" s="26">
        <v>32.73247</v>
      </c>
      <c r="O13" s="6" t="s">
        <v>167</v>
      </c>
      <c r="P13" s="6" t="s">
        <v>168</v>
      </c>
      <c r="Q13" s="6" t="s">
        <v>169</v>
      </c>
      <c r="R13" s="6" t="s">
        <v>170</v>
      </c>
      <c r="S13" s="6" t="s">
        <v>42</v>
      </c>
      <c r="T13" s="28" t="s">
        <v>171</v>
      </c>
      <c r="U13" s="28" t="s">
        <v>44</v>
      </c>
      <c r="V13" s="29" t="s">
        <v>42</v>
      </c>
      <c r="W13" s="6" t="s">
        <v>42</v>
      </c>
      <c r="X13" s="6" t="s">
        <v>108</v>
      </c>
      <c r="Y13" s="31"/>
      <c r="Z13" s="31"/>
      <c r="AA13" s="31"/>
      <c r="AB13" s="31"/>
      <c r="AC13" s="31"/>
      <c r="AD13" s="32"/>
      <c r="AE13" s="32"/>
    </row>
    <row r="14">
      <c r="A14" s="50" t="s">
        <v>172</v>
      </c>
      <c r="B14" s="11"/>
      <c r="C14" s="50"/>
      <c r="D14" s="11"/>
      <c r="E14" s="11"/>
      <c r="F14" s="33"/>
      <c r="G14" s="11"/>
      <c r="H14" s="40"/>
      <c r="I14" s="11"/>
      <c r="J14" s="11"/>
      <c r="K14" s="18"/>
      <c r="L14" s="33">
        <v>0.31</v>
      </c>
      <c r="M14" s="38">
        <v>217.528</v>
      </c>
      <c r="N14" s="22">
        <v>-35.025</v>
      </c>
      <c r="O14" s="11"/>
      <c r="P14" s="11"/>
      <c r="Q14" s="11"/>
      <c r="R14" s="11"/>
      <c r="S14" s="11"/>
      <c r="T14" s="35"/>
      <c r="U14" s="35"/>
      <c r="V14" s="19"/>
      <c r="W14" s="11" t="s">
        <v>44</v>
      </c>
      <c r="X14" s="13"/>
      <c r="Y14" s="13"/>
      <c r="Z14" s="13"/>
      <c r="AA14" s="13"/>
      <c r="AB14" s="13"/>
      <c r="AC14" s="13"/>
    </row>
    <row r="15">
      <c r="A15" s="36" t="s">
        <v>173</v>
      </c>
      <c r="B15" s="12" t="s">
        <v>174</v>
      </c>
      <c r="C15" s="36" t="s">
        <v>173</v>
      </c>
      <c r="D15" s="11" t="s">
        <v>175</v>
      </c>
      <c r="E15" s="11" t="s">
        <v>32</v>
      </c>
      <c r="F15" s="11" t="s">
        <v>75</v>
      </c>
      <c r="G15" s="12" t="s">
        <v>176</v>
      </c>
      <c r="H15" s="18" t="s">
        <v>177</v>
      </c>
      <c r="I15" s="11" t="s">
        <v>178</v>
      </c>
      <c r="J15" s="11" t="s">
        <v>179</v>
      </c>
      <c r="K15" s="11" t="s">
        <v>75</v>
      </c>
      <c r="L15" s="11" t="s">
        <v>75</v>
      </c>
      <c r="M15" s="22">
        <v>38.55311</v>
      </c>
      <c r="N15" s="11">
        <v>-38.07894</v>
      </c>
      <c r="O15" s="11">
        <v>2.0</v>
      </c>
      <c r="P15" s="11" t="s">
        <v>180</v>
      </c>
      <c r="Q15" s="11" t="s">
        <v>181</v>
      </c>
      <c r="R15" s="11" t="s">
        <v>182</v>
      </c>
      <c r="S15" s="11" t="s">
        <v>42</v>
      </c>
      <c r="T15" s="11" t="s">
        <v>43</v>
      </c>
      <c r="U15" s="11" t="s">
        <v>42</v>
      </c>
      <c r="V15" s="11" t="s">
        <v>42</v>
      </c>
      <c r="W15" s="11" t="s">
        <v>42</v>
      </c>
      <c r="X15" s="11" t="s">
        <v>183</v>
      </c>
      <c r="Y15" s="13"/>
      <c r="Z15" s="12" t="s">
        <v>184</v>
      </c>
      <c r="AA15" s="13"/>
      <c r="AB15" s="11" t="s">
        <v>185</v>
      </c>
      <c r="AC15" s="13"/>
    </row>
    <row r="16">
      <c r="A16" s="24" t="s">
        <v>186</v>
      </c>
      <c r="B16" s="5" t="s">
        <v>187</v>
      </c>
      <c r="C16" s="24" t="s">
        <v>186</v>
      </c>
      <c r="D16" s="51" t="s">
        <v>188</v>
      </c>
      <c r="E16" s="6" t="s">
        <v>160</v>
      </c>
      <c r="F16" s="25" t="s">
        <v>189</v>
      </c>
      <c r="G16" s="5" t="s">
        <v>190</v>
      </c>
      <c r="H16" s="6" t="s">
        <v>191</v>
      </c>
      <c r="I16" s="6" t="s">
        <v>192</v>
      </c>
      <c r="J16" s="6" t="s">
        <v>193</v>
      </c>
      <c r="K16" s="6" t="s">
        <v>194</v>
      </c>
      <c r="L16" s="25">
        <v>1.52</v>
      </c>
      <c r="M16" s="26">
        <v>212.9361</v>
      </c>
      <c r="N16" s="26">
        <v>16.74863</v>
      </c>
      <c r="O16" s="6">
        <v>25.0</v>
      </c>
      <c r="P16" s="6" t="s">
        <v>195</v>
      </c>
      <c r="Q16" s="6" t="s">
        <v>40</v>
      </c>
      <c r="R16" s="6" t="s">
        <v>170</v>
      </c>
      <c r="S16" s="6" t="s">
        <v>42</v>
      </c>
      <c r="T16" s="28" t="s">
        <v>171</v>
      </c>
      <c r="U16" s="28" t="s">
        <v>44</v>
      </c>
      <c r="V16" s="29" t="s">
        <v>144</v>
      </c>
      <c r="W16" s="6" t="s">
        <v>42</v>
      </c>
      <c r="X16" s="6" t="s">
        <v>67</v>
      </c>
      <c r="Y16" s="31"/>
      <c r="Z16" s="31"/>
      <c r="AA16" s="31"/>
      <c r="AB16" s="31"/>
      <c r="AC16" s="31"/>
      <c r="AD16" s="32"/>
      <c r="AE16" s="32"/>
    </row>
    <row r="17">
      <c r="A17" s="34" t="s">
        <v>196</v>
      </c>
      <c r="B17" s="34" t="s">
        <v>197</v>
      </c>
      <c r="C17" s="34" t="s">
        <v>196</v>
      </c>
      <c r="D17" s="52" t="s">
        <v>198</v>
      </c>
      <c r="E17" s="11" t="s">
        <v>199</v>
      </c>
      <c r="F17" s="11" t="s">
        <v>200</v>
      </c>
      <c r="G17" s="12" t="s">
        <v>201</v>
      </c>
      <c r="H17" s="11" t="s">
        <v>202</v>
      </c>
      <c r="I17" s="11" t="s">
        <v>75</v>
      </c>
      <c r="J17" s="11" t="s">
        <v>75</v>
      </c>
      <c r="K17" s="11" t="s">
        <v>203</v>
      </c>
      <c r="L17" s="53">
        <v>1.091</v>
      </c>
      <c r="M17" s="54">
        <v>0.047762615740740734</v>
      </c>
      <c r="N17" s="55">
        <v>-0.7218271990740741</v>
      </c>
      <c r="O17" s="11">
        <v>2.0</v>
      </c>
      <c r="P17" s="11" t="s">
        <v>204</v>
      </c>
      <c r="Q17" s="11" t="s">
        <v>40</v>
      </c>
      <c r="R17" s="11" t="s">
        <v>132</v>
      </c>
      <c r="S17" s="11" t="s">
        <v>205</v>
      </c>
      <c r="T17" s="11" t="s">
        <v>206</v>
      </c>
      <c r="U17" s="11" t="s">
        <v>183</v>
      </c>
      <c r="V17" s="11" t="s">
        <v>42</v>
      </c>
      <c r="W17" s="11" t="s">
        <v>205</v>
      </c>
      <c r="X17" s="11" t="s">
        <v>46</v>
      </c>
      <c r="Y17" s="13"/>
      <c r="Z17" s="12" t="s">
        <v>207</v>
      </c>
      <c r="AA17" s="13"/>
      <c r="AB17" s="11" t="s">
        <v>208</v>
      </c>
      <c r="AC17" s="11"/>
    </row>
    <row r="18">
      <c r="A18" s="56" t="s">
        <v>209</v>
      </c>
      <c r="B18" s="13"/>
      <c r="C18" s="13"/>
      <c r="D18" s="57"/>
      <c r="E18" s="13"/>
      <c r="F18" s="13"/>
      <c r="G18" s="13"/>
      <c r="H18" s="13"/>
      <c r="I18" s="13"/>
      <c r="J18" s="13"/>
      <c r="K18" s="13"/>
      <c r="L18" s="57"/>
      <c r="M18" s="11">
        <v>300.87238</v>
      </c>
      <c r="N18" s="11">
        <v>12.02301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56" t="s">
        <v>210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1">
        <v>41.2296</v>
      </c>
      <c r="N19" s="11">
        <v>-50.0604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6" t="s">
        <v>211</v>
      </c>
      <c r="B20" s="12" t="s">
        <v>212</v>
      </c>
      <c r="C20" s="36" t="s">
        <v>211</v>
      </c>
      <c r="D20" s="11" t="s">
        <v>213</v>
      </c>
      <c r="E20" s="11" t="s">
        <v>32</v>
      </c>
      <c r="F20" s="11" t="s">
        <v>75</v>
      </c>
      <c r="G20" s="12" t="s">
        <v>214</v>
      </c>
      <c r="H20" s="11" t="s">
        <v>215</v>
      </c>
      <c r="I20" s="11" t="s">
        <v>75</v>
      </c>
      <c r="J20" s="11" t="s">
        <v>216</v>
      </c>
      <c r="K20" s="11" t="s">
        <v>75</v>
      </c>
      <c r="L20" s="11" t="s">
        <v>75</v>
      </c>
      <c r="M20" s="22">
        <v>241.9978</v>
      </c>
      <c r="N20" s="11">
        <v>-11.9933</v>
      </c>
      <c r="O20" s="11">
        <v>8.0</v>
      </c>
      <c r="P20" s="11" t="s">
        <v>195</v>
      </c>
      <c r="Q20" s="11" t="s">
        <v>217</v>
      </c>
      <c r="R20" s="11" t="s">
        <v>132</v>
      </c>
      <c r="S20" s="11" t="s">
        <v>42</v>
      </c>
      <c r="T20" s="11" t="s">
        <v>42</v>
      </c>
      <c r="U20" s="11" t="s">
        <v>42</v>
      </c>
      <c r="V20" s="11" t="s">
        <v>42</v>
      </c>
      <c r="W20" s="11" t="s">
        <v>42</v>
      </c>
      <c r="X20" s="11" t="s">
        <v>67</v>
      </c>
      <c r="Y20" s="13"/>
      <c r="Z20" s="13"/>
      <c r="AA20" s="13"/>
      <c r="AB20" s="13"/>
      <c r="AC20" s="13"/>
    </row>
    <row r="21">
      <c r="A21" s="58" t="s">
        <v>218</v>
      </c>
      <c r="B21" s="5" t="s">
        <v>219</v>
      </c>
      <c r="C21" s="58" t="s">
        <v>218</v>
      </c>
      <c r="D21" s="6" t="s">
        <v>220</v>
      </c>
      <c r="E21" s="6" t="s">
        <v>221</v>
      </c>
      <c r="F21" s="25" t="s">
        <v>222</v>
      </c>
      <c r="G21" s="5" t="s">
        <v>223</v>
      </c>
      <c r="H21" s="45" t="s">
        <v>224</v>
      </c>
      <c r="I21" s="6" t="s">
        <v>75</v>
      </c>
      <c r="J21" s="6" t="s">
        <v>225</v>
      </c>
      <c r="K21" s="6" t="s">
        <v>226</v>
      </c>
      <c r="L21" s="25">
        <v>1.752</v>
      </c>
      <c r="M21" s="48">
        <v>336.7505</v>
      </c>
      <c r="N21" s="48">
        <v>12.4613</v>
      </c>
      <c r="O21" s="6">
        <v>12.0</v>
      </c>
      <c r="P21" s="6" t="s">
        <v>180</v>
      </c>
      <c r="Q21" s="6" t="s">
        <v>40</v>
      </c>
      <c r="R21" s="6" t="s">
        <v>132</v>
      </c>
      <c r="S21" s="28" t="s">
        <v>75</v>
      </c>
      <c r="T21" s="28" t="s">
        <v>227</v>
      </c>
      <c r="U21" s="28" t="s">
        <v>75</v>
      </c>
      <c r="V21" s="28" t="s">
        <v>75</v>
      </c>
      <c r="W21" s="6" t="s">
        <v>42</v>
      </c>
      <c r="X21" s="6" t="s">
        <v>67</v>
      </c>
      <c r="Y21" s="31"/>
      <c r="Z21" s="31"/>
      <c r="AA21" s="31"/>
      <c r="AB21" s="31"/>
      <c r="AC21" s="31"/>
      <c r="AD21" s="59"/>
      <c r="AE21" s="59"/>
    </row>
    <row r="22">
      <c r="A22" s="41" t="s">
        <v>228</v>
      </c>
      <c r="B22" s="5" t="s">
        <v>229</v>
      </c>
      <c r="C22" s="41" t="s">
        <v>228</v>
      </c>
      <c r="D22" s="6" t="s">
        <v>230</v>
      </c>
      <c r="E22" s="6" t="s">
        <v>231</v>
      </c>
      <c r="F22" s="25" t="s">
        <v>232</v>
      </c>
      <c r="G22" s="60" t="s">
        <v>233</v>
      </c>
      <c r="H22" s="6" t="s">
        <v>234</v>
      </c>
      <c r="I22" s="61"/>
      <c r="J22" s="31"/>
      <c r="K22" s="6" t="s">
        <v>235</v>
      </c>
      <c r="L22" s="25">
        <v>1.216</v>
      </c>
      <c r="M22" s="62">
        <v>0.12793425925925928</v>
      </c>
      <c r="N22" s="63">
        <v>-0.13021782407407406</v>
      </c>
      <c r="O22" s="6">
        <v>12.0</v>
      </c>
      <c r="P22" s="27" t="s">
        <v>236</v>
      </c>
      <c r="Q22" s="6" t="s">
        <v>40</v>
      </c>
      <c r="R22" s="6" t="s">
        <v>237</v>
      </c>
      <c r="S22" s="6" t="s">
        <v>42</v>
      </c>
      <c r="T22" s="28" t="s">
        <v>227</v>
      </c>
      <c r="U22" s="28" t="s">
        <v>44</v>
      </c>
      <c r="V22" s="28" t="s">
        <v>238</v>
      </c>
      <c r="W22" s="6" t="s">
        <v>42</v>
      </c>
      <c r="X22" s="6" t="s">
        <v>67</v>
      </c>
      <c r="Y22" s="31"/>
      <c r="Z22" s="31"/>
      <c r="AA22" s="31"/>
      <c r="AB22" s="31"/>
      <c r="AC22" s="31"/>
      <c r="AD22" s="59"/>
      <c r="AE22" s="59"/>
    </row>
    <row r="23">
      <c r="A23" s="11" t="s">
        <v>239</v>
      </c>
      <c r="B23" s="13"/>
      <c r="C23" s="13"/>
      <c r="D23" s="13"/>
      <c r="E23" s="13"/>
      <c r="F23" s="13"/>
      <c r="G23" s="13"/>
      <c r="H23" s="64"/>
      <c r="I23" s="13"/>
      <c r="J23" s="13"/>
      <c r="K23" s="13"/>
      <c r="L23" s="13"/>
      <c r="M23" s="65">
        <v>345.83562</v>
      </c>
      <c r="N23" s="65">
        <v>-0.21024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57"/>
      <c r="AE23" s="57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57"/>
      <c r="AE24" s="57"/>
    </row>
    <row r="25">
      <c r="A25" s="66"/>
      <c r="B25" s="66"/>
      <c r="C25" s="66"/>
      <c r="D25" s="66"/>
      <c r="E25" s="66"/>
      <c r="F25" s="66"/>
      <c r="G25" s="66"/>
      <c r="H25" s="13"/>
      <c r="I25" s="66"/>
      <c r="J25" s="13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</row>
    <row r="26">
      <c r="A26" s="66"/>
      <c r="B26" s="66"/>
      <c r="C26" s="66"/>
      <c r="D26" s="66"/>
      <c r="E26" s="66"/>
      <c r="F26" s="66"/>
      <c r="G26" s="66"/>
      <c r="H26" s="13"/>
      <c r="I26" s="66"/>
      <c r="J26" s="13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7">
      <c r="A27" s="66"/>
      <c r="B27" s="66"/>
      <c r="C27" s="66"/>
      <c r="D27" s="66"/>
      <c r="E27" s="66"/>
      <c r="F27" s="66"/>
      <c r="G27" s="66"/>
      <c r="H27" s="13"/>
      <c r="I27" s="66"/>
      <c r="J27" s="13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</row>
    <row r="28">
      <c r="H28" s="57"/>
      <c r="J28" s="57"/>
    </row>
    <row r="29">
      <c r="H29" s="57"/>
      <c r="J29" s="57"/>
    </row>
    <row r="30">
      <c r="H30" s="57"/>
      <c r="J30" s="57"/>
    </row>
    <row r="31">
      <c r="H31" s="57"/>
      <c r="J31" s="57"/>
    </row>
    <row r="32">
      <c r="H32" s="57"/>
      <c r="J32" s="57"/>
    </row>
    <row r="33">
      <c r="H33" s="57"/>
      <c r="J33" s="57"/>
    </row>
    <row r="34">
      <c r="H34" s="57"/>
      <c r="J34" s="57"/>
    </row>
    <row r="35">
      <c r="H35" s="57"/>
      <c r="J35" s="57"/>
    </row>
    <row r="36">
      <c r="H36" s="57"/>
      <c r="J36" s="57"/>
    </row>
    <row r="37">
      <c r="H37" s="57"/>
      <c r="J37" s="57"/>
    </row>
    <row r="38">
      <c r="H38" s="57"/>
      <c r="J38" s="57"/>
    </row>
    <row r="39">
      <c r="H39" s="57"/>
      <c r="J39" s="57"/>
    </row>
    <row r="40">
      <c r="H40" s="57"/>
      <c r="J40" s="57"/>
    </row>
    <row r="41">
      <c r="H41" s="57"/>
      <c r="J41" s="57"/>
    </row>
    <row r="42">
      <c r="H42" s="57"/>
      <c r="J42" s="57"/>
    </row>
    <row r="43">
      <c r="H43" s="57"/>
      <c r="J43" s="57"/>
    </row>
    <row r="44">
      <c r="H44" s="57"/>
      <c r="J44" s="57"/>
    </row>
    <row r="45">
      <c r="H45" s="57"/>
      <c r="J45" s="57"/>
    </row>
    <row r="46">
      <c r="H46" s="57"/>
      <c r="J46" s="57"/>
    </row>
    <row r="47">
      <c r="H47" s="57"/>
      <c r="J47" s="57"/>
    </row>
    <row r="48">
      <c r="H48" s="57"/>
      <c r="J48" s="57"/>
    </row>
    <row r="49">
      <c r="H49" s="57"/>
      <c r="J49" s="57"/>
    </row>
    <row r="50">
      <c r="H50" s="57"/>
      <c r="J50" s="57"/>
    </row>
    <row r="51">
      <c r="H51" s="57"/>
      <c r="J51" s="57"/>
    </row>
    <row r="52">
      <c r="H52" s="57"/>
      <c r="J52" s="57"/>
    </row>
    <row r="53">
      <c r="H53" s="57"/>
      <c r="J53" s="57"/>
    </row>
    <row r="54">
      <c r="H54" s="57"/>
      <c r="J54" s="57"/>
    </row>
    <row r="55">
      <c r="H55" s="57"/>
      <c r="J55" s="57"/>
    </row>
    <row r="56">
      <c r="H56" s="57"/>
      <c r="J56" s="57"/>
    </row>
    <row r="57">
      <c r="H57" s="57"/>
      <c r="J57" s="57"/>
    </row>
    <row r="58">
      <c r="H58" s="57"/>
      <c r="J58" s="57"/>
    </row>
    <row r="59">
      <c r="H59" s="57"/>
      <c r="J59" s="57"/>
    </row>
    <row r="60">
      <c r="H60" s="57"/>
      <c r="J60" s="57"/>
    </row>
    <row r="61">
      <c r="H61" s="57"/>
      <c r="J61" s="57"/>
    </row>
    <row r="62">
      <c r="H62" s="57"/>
      <c r="J62" s="57"/>
    </row>
    <row r="63">
      <c r="H63" s="57"/>
      <c r="J63" s="57"/>
    </row>
    <row r="64">
      <c r="H64" s="57"/>
      <c r="J64" s="57"/>
    </row>
    <row r="65">
      <c r="H65" s="57"/>
      <c r="J65" s="57"/>
    </row>
    <row r="66">
      <c r="H66" s="57"/>
      <c r="J66" s="57"/>
    </row>
    <row r="67">
      <c r="H67" s="57"/>
      <c r="J67" s="57"/>
    </row>
    <row r="68">
      <c r="H68" s="57"/>
      <c r="J68" s="57"/>
    </row>
    <row r="69">
      <c r="H69" s="57"/>
      <c r="J69" s="57"/>
    </row>
    <row r="70">
      <c r="H70" s="57"/>
      <c r="J70" s="57"/>
    </row>
    <row r="71">
      <c r="H71" s="57"/>
      <c r="J71" s="57"/>
    </row>
    <row r="72">
      <c r="H72" s="57"/>
      <c r="J72" s="57"/>
    </row>
    <row r="73">
      <c r="H73" s="57"/>
      <c r="J73" s="57"/>
    </row>
    <row r="74">
      <c r="H74" s="57"/>
      <c r="J74" s="57"/>
    </row>
    <row r="75">
      <c r="H75" s="57"/>
      <c r="J75" s="57"/>
    </row>
    <row r="76">
      <c r="H76" s="57"/>
      <c r="J76" s="57"/>
    </row>
    <row r="77">
      <c r="H77" s="57"/>
      <c r="J77" s="57"/>
    </row>
    <row r="78">
      <c r="H78" s="57"/>
      <c r="J78" s="57"/>
    </row>
    <row r="79">
      <c r="H79" s="57"/>
      <c r="J79" s="57"/>
    </row>
    <row r="80">
      <c r="H80" s="57"/>
      <c r="J80" s="57"/>
    </row>
    <row r="81">
      <c r="H81" s="57"/>
      <c r="J81" s="57"/>
    </row>
    <row r="82">
      <c r="H82" s="57"/>
      <c r="J82" s="57"/>
    </row>
    <row r="83">
      <c r="H83" s="57"/>
      <c r="J83" s="57"/>
    </row>
    <row r="84">
      <c r="H84" s="57"/>
      <c r="J84" s="57"/>
    </row>
    <row r="85">
      <c r="H85" s="57"/>
      <c r="J85" s="57"/>
    </row>
    <row r="86">
      <c r="H86" s="57"/>
      <c r="J86" s="57"/>
    </row>
    <row r="87">
      <c r="H87" s="57"/>
      <c r="J87" s="57"/>
    </row>
    <row r="88">
      <c r="H88" s="57"/>
      <c r="J88" s="57"/>
    </row>
    <row r="89">
      <c r="H89" s="57"/>
      <c r="J89" s="57"/>
    </row>
    <row r="90">
      <c r="H90" s="57"/>
      <c r="J90" s="57"/>
    </row>
    <row r="91">
      <c r="H91" s="57"/>
      <c r="J91" s="57"/>
    </row>
    <row r="92">
      <c r="H92" s="57"/>
      <c r="J92" s="57"/>
    </row>
    <row r="93">
      <c r="H93" s="57"/>
      <c r="J93" s="57"/>
    </row>
    <row r="94">
      <c r="H94" s="57"/>
      <c r="J94" s="57"/>
    </row>
    <row r="95">
      <c r="H95" s="57"/>
      <c r="J95" s="57"/>
    </row>
    <row r="96">
      <c r="H96" s="57"/>
      <c r="J96" s="57"/>
    </row>
    <row r="97">
      <c r="H97" s="57"/>
      <c r="J97" s="57"/>
    </row>
    <row r="98">
      <c r="H98" s="57"/>
      <c r="J98" s="57"/>
    </row>
    <row r="99">
      <c r="H99" s="57"/>
      <c r="J99" s="57"/>
    </row>
    <row r="100">
      <c r="H100" s="57"/>
      <c r="J100" s="57"/>
    </row>
    <row r="101">
      <c r="H101" s="57"/>
      <c r="J101" s="57"/>
    </row>
    <row r="102">
      <c r="H102" s="57"/>
      <c r="J102" s="57"/>
    </row>
    <row r="103">
      <c r="H103" s="57"/>
      <c r="J103" s="57"/>
    </row>
    <row r="104">
      <c r="H104" s="57"/>
      <c r="J104" s="57"/>
    </row>
    <row r="105">
      <c r="H105" s="57"/>
      <c r="J105" s="57"/>
    </row>
    <row r="106">
      <c r="H106" s="57"/>
      <c r="J106" s="57"/>
    </row>
    <row r="107">
      <c r="H107" s="57"/>
      <c r="J107" s="57"/>
    </row>
    <row r="108">
      <c r="H108" s="57"/>
      <c r="J108" s="57"/>
    </row>
    <row r="109">
      <c r="H109" s="57"/>
      <c r="J109" s="57"/>
    </row>
    <row r="110">
      <c r="H110" s="57"/>
      <c r="J110" s="57"/>
    </row>
    <row r="111">
      <c r="H111" s="57"/>
      <c r="J111" s="57"/>
    </row>
    <row r="112">
      <c r="H112" s="57"/>
      <c r="J112" s="57"/>
    </row>
    <row r="113">
      <c r="H113" s="57"/>
      <c r="J113" s="57"/>
    </row>
    <row r="114">
      <c r="H114" s="57"/>
      <c r="J114" s="57"/>
    </row>
    <row r="115">
      <c r="H115" s="57"/>
      <c r="J115" s="57"/>
    </row>
    <row r="116">
      <c r="H116" s="57"/>
      <c r="J116" s="57"/>
    </row>
    <row r="117">
      <c r="H117" s="57"/>
      <c r="J117" s="57"/>
    </row>
    <row r="118">
      <c r="H118" s="57"/>
      <c r="J118" s="57"/>
    </row>
    <row r="119">
      <c r="H119" s="57"/>
      <c r="J119" s="57"/>
    </row>
    <row r="120">
      <c r="H120" s="57"/>
      <c r="J120" s="57"/>
    </row>
    <row r="121">
      <c r="H121" s="57"/>
      <c r="J121" s="57"/>
    </row>
    <row r="122">
      <c r="H122" s="57"/>
      <c r="J122" s="57"/>
    </row>
    <row r="123">
      <c r="H123" s="57"/>
      <c r="J123" s="57"/>
    </row>
    <row r="124">
      <c r="H124" s="57"/>
      <c r="J124" s="57"/>
    </row>
    <row r="125">
      <c r="H125" s="57"/>
      <c r="J125" s="57"/>
    </row>
    <row r="126">
      <c r="H126" s="57"/>
      <c r="J126" s="57"/>
    </row>
    <row r="127">
      <c r="H127" s="57"/>
      <c r="J127" s="57"/>
    </row>
    <row r="128">
      <c r="H128" s="57"/>
      <c r="J128" s="57"/>
    </row>
    <row r="129">
      <c r="H129" s="57"/>
      <c r="J129" s="57"/>
    </row>
    <row r="130">
      <c r="H130" s="57"/>
      <c r="J130" s="57"/>
    </row>
    <row r="131">
      <c r="H131" s="57"/>
      <c r="J131" s="57"/>
    </row>
    <row r="132">
      <c r="H132" s="57"/>
      <c r="J132" s="57"/>
    </row>
    <row r="133">
      <c r="H133" s="57"/>
      <c r="J133" s="57"/>
    </row>
    <row r="134">
      <c r="H134" s="57"/>
      <c r="J134" s="57"/>
    </row>
    <row r="135">
      <c r="H135" s="57"/>
      <c r="J135" s="57"/>
    </row>
    <row r="136">
      <c r="H136" s="57"/>
      <c r="J136" s="57"/>
    </row>
    <row r="137">
      <c r="H137" s="57"/>
      <c r="J137" s="57"/>
    </row>
    <row r="138">
      <c r="H138" s="57"/>
      <c r="J138" s="57"/>
    </row>
    <row r="139">
      <c r="H139" s="57"/>
      <c r="J139" s="57"/>
    </row>
    <row r="140">
      <c r="H140" s="57"/>
      <c r="J140" s="57"/>
    </row>
    <row r="141">
      <c r="H141" s="57"/>
      <c r="J141" s="57"/>
    </row>
    <row r="142">
      <c r="H142" s="57"/>
      <c r="J142" s="57"/>
    </row>
    <row r="143">
      <c r="H143" s="57"/>
      <c r="J143" s="57"/>
    </row>
    <row r="144">
      <c r="H144" s="57"/>
      <c r="J144" s="57"/>
    </row>
    <row r="145">
      <c r="H145" s="57"/>
      <c r="J145" s="57"/>
    </row>
    <row r="146">
      <c r="H146" s="57"/>
      <c r="J146" s="57"/>
    </row>
    <row r="147">
      <c r="H147" s="57"/>
      <c r="J147" s="57"/>
    </row>
    <row r="148">
      <c r="H148" s="57"/>
      <c r="J148" s="57"/>
    </row>
    <row r="149">
      <c r="H149" s="57"/>
      <c r="J149" s="57"/>
    </row>
    <row r="150">
      <c r="H150" s="57"/>
      <c r="J150" s="57"/>
    </row>
    <row r="151">
      <c r="H151" s="57"/>
      <c r="J151" s="57"/>
    </row>
    <row r="152">
      <c r="H152" s="57"/>
      <c r="J152" s="57"/>
    </row>
    <row r="153">
      <c r="H153" s="57"/>
      <c r="J153" s="57"/>
    </row>
    <row r="154">
      <c r="H154" s="57"/>
      <c r="J154" s="57"/>
    </row>
    <row r="155">
      <c r="H155" s="57"/>
      <c r="J155" s="57"/>
    </row>
    <row r="156">
      <c r="H156" s="57"/>
      <c r="J156" s="57"/>
    </row>
    <row r="157">
      <c r="H157" s="57"/>
      <c r="J157" s="57"/>
    </row>
    <row r="158">
      <c r="H158" s="57"/>
      <c r="J158" s="57"/>
    </row>
    <row r="159">
      <c r="H159" s="57"/>
      <c r="J159" s="57"/>
    </row>
    <row r="160">
      <c r="H160" s="57"/>
      <c r="J160" s="57"/>
    </row>
    <row r="161">
      <c r="H161" s="57"/>
      <c r="J161" s="57"/>
    </row>
    <row r="162">
      <c r="H162" s="57"/>
      <c r="J162" s="57"/>
    </row>
    <row r="163">
      <c r="H163" s="57"/>
      <c r="J163" s="57"/>
    </row>
    <row r="164">
      <c r="H164" s="57"/>
      <c r="J164" s="57"/>
    </row>
    <row r="165">
      <c r="H165" s="57"/>
      <c r="J165" s="57"/>
    </row>
    <row r="166">
      <c r="H166" s="57"/>
      <c r="J166" s="57"/>
    </row>
    <row r="167">
      <c r="H167" s="57"/>
      <c r="J167" s="57"/>
    </row>
    <row r="168">
      <c r="H168" s="57"/>
      <c r="J168" s="57"/>
    </row>
    <row r="169">
      <c r="H169" s="57"/>
      <c r="J169" s="57"/>
    </row>
    <row r="170">
      <c r="H170" s="57"/>
      <c r="J170" s="57"/>
    </row>
    <row r="171">
      <c r="H171" s="57"/>
      <c r="J171" s="57"/>
    </row>
    <row r="172">
      <c r="H172" s="57"/>
      <c r="J172" s="57"/>
    </row>
    <row r="173">
      <c r="H173" s="57"/>
      <c r="J173" s="57"/>
    </row>
    <row r="174">
      <c r="H174" s="57"/>
      <c r="J174" s="57"/>
    </row>
    <row r="175">
      <c r="H175" s="57"/>
      <c r="J175" s="57"/>
    </row>
    <row r="176">
      <c r="H176" s="57"/>
      <c r="J176" s="57"/>
    </row>
    <row r="177">
      <c r="H177" s="57"/>
      <c r="J177" s="57"/>
    </row>
    <row r="178">
      <c r="H178" s="57"/>
      <c r="J178" s="57"/>
    </row>
    <row r="179">
      <c r="H179" s="57"/>
      <c r="J179" s="57"/>
    </row>
    <row r="180">
      <c r="H180" s="57"/>
      <c r="J180" s="57"/>
    </row>
    <row r="181">
      <c r="H181" s="57"/>
      <c r="J181" s="57"/>
    </row>
    <row r="182">
      <c r="H182" s="57"/>
      <c r="J182" s="57"/>
    </row>
    <row r="183">
      <c r="H183" s="57"/>
      <c r="J183" s="57"/>
    </row>
    <row r="184">
      <c r="H184" s="57"/>
      <c r="J184" s="57"/>
    </row>
    <row r="185">
      <c r="H185" s="57"/>
      <c r="J185" s="57"/>
    </row>
    <row r="186">
      <c r="H186" s="57"/>
      <c r="J186" s="57"/>
    </row>
    <row r="187">
      <c r="H187" s="57"/>
      <c r="J187" s="57"/>
    </row>
    <row r="188">
      <c r="H188" s="57"/>
      <c r="J188" s="57"/>
    </row>
    <row r="189">
      <c r="H189" s="57"/>
      <c r="J189" s="57"/>
    </row>
    <row r="190">
      <c r="H190" s="57"/>
      <c r="J190" s="57"/>
    </row>
    <row r="191">
      <c r="H191" s="57"/>
      <c r="J191" s="57"/>
    </row>
    <row r="192">
      <c r="H192" s="57"/>
      <c r="J192" s="57"/>
    </row>
    <row r="193">
      <c r="H193" s="57"/>
      <c r="J193" s="57"/>
    </row>
    <row r="194">
      <c r="H194" s="57"/>
      <c r="J194" s="57"/>
    </row>
    <row r="195">
      <c r="H195" s="57"/>
      <c r="J195" s="57"/>
    </row>
    <row r="196">
      <c r="H196" s="57"/>
      <c r="J196" s="57"/>
    </row>
    <row r="197">
      <c r="H197" s="57"/>
      <c r="J197" s="57"/>
    </row>
    <row r="198">
      <c r="H198" s="57"/>
      <c r="J198" s="57"/>
    </row>
    <row r="199">
      <c r="H199" s="57"/>
      <c r="J199" s="57"/>
    </row>
    <row r="200">
      <c r="H200" s="57"/>
      <c r="J200" s="57"/>
    </row>
    <row r="201">
      <c r="H201" s="57"/>
      <c r="J201" s="57"/>
    </row>
    <row r="202">
      <c r="H202" s="57"/>
      <c r="J202" s="57"/>
    </row>
    <row r="203">
      <c r="H203" s="57"/>
      <c r="J203" s="57"/>
    </row>
    <row r="204">
      <c r="H204" s="57"/>
      <c r="J204" s="57"/>
    </row>
    <row r="205">
      <c r="H205" s="57"/>
      <c r="J205" s="57"/>
    </row>
    <row r="206">
      <c r="H206" s="57"/>
      <c r="J206" s="57"/>
    </row>
    <row r="207">
      <c r="H207" s="57"/>
      <c r="J207" s="57"/>
    </row>
    <row r="208">
      <c r="H208" s="57"/>
      <c r="J208" s="57"/>
    </row>
    <row r="209">
      <c r="H209" s="57"/>
      <c r="J209" s="57"/>
    </row>
    <row r="210">
      <c r="H210" s="57"/>
      <c r="J210" s="57"/>
    </row>
    <row r="211">
      <c r="H211" s="57"/>
      <c r="J211" s="57"/>
    </row>
    <row r="212">
      <c r="H212" s="57"/>
      <c r="J212" s="57"/>
    </row>
    <row r="213">
      <c r="H213" s="57"/>
      <c r="J213" s="57"/>
    </row>
    <row r="214">
      <c r="H214" s="57"/>
      <c r="J214" s="57"/>
    </row>
    <row r="215">
      <c r="H215" s="57"/>
      <c r="J215" s="57"/>
    </row>
    <row r="216">
      <c r="H216" s="57"/>
      <c r="J216" s="57"/>
    </row>
    <row r="217">
      <c r="H217" s="57"/>
      <c r="J217" s="57"/>
    </row>
    <row r="218">
      <c r="H218" s="57"/>
      <c r="J218" s="57"/>
    </row>
    <row r="219">
      <c r="H219" s="57"/>
      <c r="J219" s="57"/>
    </row>
    <row r="220">
      <c r="H220" s="57"/>
      <c r="J220" s="57"/>
    </row>
    <row r="221">
      <c r="H221" s="57"/>
      <c r="J221" s="57"/>
    </row>
    <row r="222">
      <c r="H222" s="57"/>
      <c r="J222" s="57"/>
    </row>
    <row r="223">
      <c r="H223" s="57"/>
      <c r="J223" s="57"/>
    </row>
    <row r="224">
      <c r="H224" s="57"/>
      <c r="J224" s="57"/>
    </row>
    <row r="225">
      <c r="H225" s="57"/>
      <c r="J225" s="57"/>
    </row>
    <row r="226">
      <c r="H226" s="57"/>
      <c r="J226" s="57"/>
    </row>
    <row r="227">
      <c r="H227" s="57"/>
      <c r="J227" s="57"/>
    </row>
    <row r="228">
      <c r="H228" s="57"/>
      <c r="J228" s="57"/>
    </row>
    <row r="229">
      <c r="H229" s="57"/>
      <c r="J229" s="57"/>
    </row>
    <row r="230">
      <c r="H230" s="57"/>
      <c r="J230" s="57"/>
    </row>
    <row r="231">
      <c r="H231" s="57"/>
      <c r="J231" s="57"/>
    </row>
    <row r="232">
      <c r="H232" s="57"/>
      <c r="J232" s="57"/>
    </row>
    <row r="233">
      <c r="H233" s="57"/>
      <c r="J233" s="57"/>
    </row>
    <row r="234">
      <c r="H234" s="57"/>
      <c r="J234" s="57"/>
    </row>
    <row r="235">
      <c r="H235" s="57"/>
      <c r="J235" s="57"/>
    </row>
    <row r="236">
      <c r="H236" s="57"/>
      <c r="J236" s="57"/>
    </row>
    <row r="237">
      <c r="H237" s="57"/>
      <c r="J237" s="57"/>
    </row>
    <row r="238">
      <c r="H238" s="57"/>
      <c r="J238" s="57"/>
    </row>
    <row r="239">
      <c r="H239" s="57"/>
      <c r="J239" s="57"/>
    </row>
    <row r="240">
      <c r="H240" s="57"/>
      <c r="J240" s="57"/>
    </row>
    <row r="241">
      <c r="H241" s="57"/>
      <c r="J241" s="57"/>
    </row>
    <row r="242">
      <c r="H242" s="57"/>
      <c r="J242" s="57"/>
    </row>
    <row r="243">
      <c r="H243" s="57"/>
      <c r="J243" s="57"/>
    </row>
    <row r="244">
      <c r="H244" s="57"/>
      <c r="J244" s="57"/>
    </row>
    <row r="245">
      <c r="H245" s="57"/>
      <c r="J245" s="57"/>
    </row>
    <row r="246">
      <c r="H246" s="57"/>
      <c r="J246" s="57"/>
    </row>
    <row r="247">
      <c r="H247" s="57"/>
      <c r="J247" s="57"/>
    </row>
    <row r="248">
      <c r="H248" s="57"/>
      <c r="J248" s="57"/>
    </row>
    <row r="249">
      <c r="H249" s="57"/>
      <c r="J249" s="57"/>
    </row>
    <row r="250">
      <c r="H250" s="57"/>
      <c r="J250" s="57"/>
    </row>
    <row r="251">
      <c r="H251" s="57"/>
      <c r="J251" s="57"/>
    </row>
    <row r="252">
      <c r="H252" s="57"/>
      <c r="J252" s="57"/>
    </row>
    <row r="253">
      <c r="H253" s="57"/>
      <c r="J253" s="57"/>
    </row>
    <row r="254">
      <c r="H254" s="57"/>
      <c r="J254" s="57"/>
    </row>
    <row r="255">
      <c r="H255" s="57"/>
      <c r="J255" s="57"/>
    </row>
    <row r="256">
      <c r="H256" s="57"/>
      <c r="J256" s="57"/>
    </row>
    <row r="257">
      <c r="H257" s="57"/>
      <c r="J257" s="57"/>
    </row>
    <row r="258">
      <c r="H258" s="57"/>
      <c r="J258" s="57"/>
    </row>
    <row r="259">
      <c r="H259" s="57"/>
      <c r="J259" s="57"/>
    </row>
    <row r="260">
      <c r="H260" s="57"/>
      <c r="J260" s="57"/>
    </row>
    <row r="261">
      <c r="H261" s="57"/>
      <c r="J261" s="57"/>
    </row>
    <row r="262">
      <c r="H262" s="57"/>
      <c r="J262" s="57"/>
    </row>
    <row r="263">
      <c r="H263" s="57"/>
      <c r="J263" s="57"/>
    </row>
    <row r="264">
      <c r="H264" s="57"/>
      <c r="J264" s="57"/>
    </row>
    <row r="265">
      <c r="H265" s="57"/>
      <c r="J265" s="57"/>
    </row>
    <row r="266">
      <c r="H266" s="57"/>
      <c r="J266" s="57"/>
    </row>
    <row r="267">
      <c r="H267" s="57"/>
      <c r="J267" s="57"/>
    </row>
    <row r="268">
      <c r="H268" s="57"/>
      <c r="J268" s="57"/>
    </row>
    <row r="269">
      <c r="H269" s="57"/>
      <c r="J269" s="57"/>
    </row>
    <row r="270">
      <c r="H270" s="57"/>
      <c r="J270" s="57"/>
    </row>
    <row r="271">
      <c r="H271" s="57"/>
      <c r="J271" s="57"/>
    </row>
    <row r="272">
      <c r="H272" s="57"/>
      <c r="J272" s="57"/>
    </row>
    <row r="273">
      <c r="H273" s="57"/>
      <c r="J273" s="57"/>
    </row>
    <row r="274">
      <c r="H274" s="57"/>
      <c r="J274" s="57"/>
    </row>
    <row r="275">
      <c r="H275" s="57"/>
      <c r="J275" s="57"/>
    </row>
    <row r="276">
      <c r="H276" s="57"/>
      <c r="J276" s="57"/>
    </row>
    <row r="277">
      <c r="H277" s="57"/>
      <c r="J277" s="57"/>
    </row>
    <row r="278">
      <c r="H278" s="57"/>
      <c r="J278" s="57"/>
    </row>
    <row r="279">
      <c r="H279" s="57"/>
      <c r="J279" s="57"/>
    </row>
    <row r="280">
      <c r="H280" s="57"/>
      <c r="J280" s="57"/>
    </row>
    <row r="281">
      <c r="H281" s="57"/>
      <c r="J281" s="57"/>
    </row>
    <row r="282">
      <c r="H282" s="57"/>
      <c r="J282" s="57"/>
    </row>
    <row r="283">
      <c r="H283" s="57"/>
      <c r="J283" s="57"/>
    </row>
    <row r="284">
      <c r="H284" s="57"/>
      <c r="J284" s="57"/>
    </row>
    <row r="285">
      <c r="H285" s="57"/>
      <c r="J285" s="57"/>
    </row>
    <row r="286">
      <c r="H286" s="57"/>
      <c r="J286" s="57"/>
    </row>
    <row r="287">
      <c r="H287" s="57"/>
      <c r="J287" s="57"/>
    </row>
    <row r="288">
      <c r="H288" s="57"/>
      <c r="J288" s="57"/>
    </row>
    <row r="289">
      <c r="H289" s="57"/>
      <c r="J289" s="57"/>
    </row>
    <row r="290">
      <c r="H290" s="57"/>
      <c r="J290" s="57"/>
    </row>
    <row r="291">
      <c r="H291" s="57"/>
      <c r="J291" s="57"/>
    </row>
    <row r="292">
      <c r="H292" s="57"/>
      <c r="J292" s="57"/>
    </row>
    <row r="293">
      <c r="H293" s="57"/>
      <c r="J293" s="57"/>
    </row>
    <row r="294">
      <c r="H294" s="57"/>
      <c r="J294" s="57"/>
    </row>
    <row r="295">
      <c r="H295" s="57"/>
      <c r="J295" s="57"/>
    </row>
    <row r="296">
      <c r="H296" s="57"/>
      <c r="J296" s="57"/>
    </row>
    <row r="297">
      <c r="H297" s="57"/>
      <c r="J297" s="57"/>
    </row>
    <row r="298">
      <c r="H298" s="57"/>
      <c r="J298" s="57"/>
    </row>
    <row r="299">
      <c r="H299" s="57"/>
      <c r="J299" s="57"/>
    </row>
    <row r="300">
      <c r="H300" s="57"/>
      <c r="J300" s="57"/>
    </row>
    <row r="301">
      <c r="H301" s="57"/>
      <c r="J301" s="57"/>
    </row>
    <row r="302">
      <c r="H302" s="57"/>
      <c r="J302" s="57"/>
    </row>
    <row r="303">
      <c r="H303" s="57"/>
      <c r="J303" s="57"/>
    </row>
    <row r="304">
      <c r="H304" s="57"/>
      <c r="J304" s="57"/>
    </row>
    <row r="305">
      <c r="H305" s="57"/>
      <c r="J305" s="57"/>
    </row>
    <row r="306">
      <c r="H306" s="57"/>
      <c r="J306" s="57"/>
    </row>
    <row r="307">
      <c r="H307" s="57"/>
      <c r="J307" s="57"/>
    </row>
    <row r="308">
      <c r="H308" s="57"/>
      <c r="J308" s="57"/>
    </row>
    <row r="309">
      <c r="H309" s="57"/>
      <c r="J309" s="57"/>
    </row>
    <row r="310">
      <c r="H310" s="57"/>
      <c r="J310" s="57"/>
    </row>
    <row r="311">
      <c r="H311" s="57"/>
      <c r="J311" s="57"/>
    </row>
    <row r="312">
      <c r="H312" s="57"/>
      <c r="J312" s="57"/>
    </row>
    <row r="313">
      <c r="H313" s="57"/>
      <c r="J313" s="57"/>
    </row>
    <row r="314">
      <c r="H314" s="57"/>
      <c r="J314" s="57"/>
    </row>
    <row r="315">
      <c r="H315" s="57"/>
      <c r="J315" s="57"/>
    </row>
    <row r="316">
      <c r="H316" s="57"/>
      <c r="J316" s="57"/>
    </row>
    <row r="317">
      <c r="H317" s="57"/>
      <c r="J317" s="57"/>
    </row>
    <row r="318">
      <c r="H318" s="57"/>
      <c r="J318" s="57"/>
    </row>
    <row r="319">
      <c r="H319" s="57"/>
      <c r="J319" s="57"/>
    </row>
    <row r="320">
      <c r="H320" s="57"/>
      <c r="J320" s="57"/>
    </row>
    <row r="321">
      <c r="H321" s="57"/>
      <c r="J321" s="57"/>
    </row>
    <row r="322">
      <c r="H322" s="57"/>
      <c r="J322" s="57"/>
    </row>
    <row r="323">
      <c r="H323" s="57"/>
      <c r="J323" s="57"/>
    </row>
    <row r="324">
      <c r="H324" s="57"/>
      <c r="J324" s="57"/>
    </row>
    <row r="325">
      <c r="H325" s="57"/>
      <c r="J325" s="57"/>
    </row>
    <row r="326">
      <c r="H326" s="57"/>
      <c r="J326" s="57"/>
    </row>
    <row r="327">
      <c r="H327" s="57"/>
      <c r="J327" s="57"/>
    </row>
    <row r="328">
      <c r="H328" s="57"/>
      <c r="J328" s="57"/>
    </row>
    <row r="329">
      <c r="H329" s="57"/>
      <c r="J329" s="57"/>
    </row>
    <row r="330">
      <c r="H330" s="57"/>
      <c r="J330" s="57"/>
    </row>
    <row r="331">
      <c r="H331" s="57"/>
      <c r="J331" s="57"/>
    </row>
    <row r="332">
      <c r="H332" s="57"/>
      <c r="J332" s="57"/>
    </row>
    <row r="333">
      <c r="H333" s="57"/>
      <c r="J333" s="57"/>
    </row>
    <row r="334">
      <c r="H334" s="57"/>
      <c r="J334" s="57"/>
    </row>
    <row r="335">
      <c r="H335" s="57"/>
      <c r="J335" s="57"/>
    </row>
    <row r="336">
      <c r="H336" s="57"/>
      <c r="J336" s="57"/>
    </row>
    <row r="337">
      <c r="H337" s="57"/>
      <c r="J337" s="57"/>
    </row>
    <row r="338">
      <c r="H338" s="57"/>
      <c r="J338" s="57"/>
    </row>
    <row r="339">
      <c r="H339" s="57"/>
      <c r="J339" s="57"/>
    </row>
    <row r="340">
      <c r="H340" s="57"/>
      <c r="J340" s="57"/>
    </row>
    <row r="341">
      <c r="H341" s="57"/>
      <c r="J341" s="57"/>
    </row>
    <row r="342">
      <c r="H342" s="57"/>
      <c r="J342" s="57"/>
    </row>
    <row r="343">
      <c r="H343" s="57"/>
      <c r="J343" s="57"/>
    </row>
    <row r="344">
      <c r="H344" s="57"/>
      <c r="J344" s="57"/>
    </row>
    <row r="345">
      <c r="H345" s="57"/>
      <c r="J345" s="57"/>
    </row>
    <row r="346">
      <c r="H346" s="57"/>
      <c r="J346" s="57"/>
    </row>
    <row r="347">
      <c r="H347" s="57"/>
      <c r="J347" s="57"/>
    </row>
    <row r="348">
      <c r="H348" s="57"/>
      <c r="J348" s="57"/>
    </row>
    <row r="349">
      <c r="H349" s="57"/>
      <c r="J349" s="57"/>
    </row>
    <row r="350">
      <c r="H350" s="57"/>
      <c r="J350" s="57"/>
    </row>
    <row r="351">
      <c r="H351" s="57"/>
      <c r="J351" s="57"/>
    </row>
    <row r="352">
      <c r="H352" s="57"/>
      <c r="J352" s="57"/>
    </row>
    <row r="353">
      <c r="H353" s="57"/>
      <c r="J353" s="57"/>
    </row>
    <row r="354">
      <c r="H354" s="57"/>
      <c r="J354" s="57"/>
    </row>
    <row r="355">
      <c r="H355" s="57"/>
      <c r="J355" s="57"/>
    </row>
    <row r="356">
      <c r="H356" s="57"/>
      <c r="J356" s="57"/>
    </row>
    <row r="357">
      <c r="H357" s="57"/>
      <c r="J357" s="57"/>
    </row>
    <row r="358">
      <c r="H358" s="57"/>
      <c r="J358" s="57"/>
    </row>
    <row r="359">
      <c r="H359" s="57"/>
      <c r="J359" s="57"/>
    </row>
    <row r="360">
      <c r="H360" s="57"/>
      <c r="J360" s="57"/>
    </row>
    <row r="361">
      <c r="H361" s="57"/>
      <c r="J361" s="57"/>
    </row>
    <row r="362">
      <c r="H362" s="57"/>
      <c r="J362" s="57"/>
    </row>
    <row r="363">
      <c r="H363" s="57"/>
      <c r="J363" s="57"/>
    </row>
    <row r="364">
      <c r="H364" s="57"/>
      <c r="J364" s="57"/>
    </row>
    <row r="365">
      <c r="H365" s="57"/>
      <c r="J365" s="57"/>
    </row>
    <row r="366">
      <c r="H366" s="57"/>
      <c r="J366" s="57"/>
    </row>
    <row r="367">
      <c r="H367" s="57"/>
      <c r="J367" s="57"/>
    </row>
    <row r="368">
      <c r="H368" s="57"/>
      <c r="J368" s="57"/>
    </row>
    <row r="369">
      <c r="H369" s="57"/>
      <c r="J369" s="57"/>
    </row>
    <row r="370">
      <c r="H370" s="57"/>
      <c r="J370" s="57"/>
    </row>
    <row r="371">
      <c r="H371" s="57"/>
      <c r="J371" s="57"/>
    </row>
    <row r="372">
      <c r="H372" s="57"/>
      <c r="J372" s="57"/>
    </row>
    <row r="373">
      <c r="H373" s="57"/>
      <c r="J373" s="57"/>
    </row>
    <row r="374">
      <c r="H374" s="57"/>
      <c r="J374" s="57"/>
    </row>
    <row r="375">
      <c r="H375" s="57"/>
      <c r="J375" s="57"/>
    </row>
    <row r="376">
      <c r="H376" s="57"/>
      <c r="J376" s="57"/>
    </row>
    <row r="377">
      <c r="H377" s="57"/>
      <c r="J377" s="57"/>
    </row>
    <row r="378">
      <c r="H378" s="57"/>
      <c r="J378" s="57"/>
    </row>
    <row r="379">
      <c r="H379" s="57"/>
      <c r="J379" s="57"/>
    </row>
    <row r="380">
      <c r="H380" s="57"/>
      <c r="J380" s="57"/>
    </row>
    <row r="381">
      <c r="H381" s="57"/>
      <c r="J381" s="57"/>
    </row>
    <row r="382">
      <c r="H382" s="57"/>
      <c r="J382" s="57"/>
    </row>
    <row r="383">
      <c r="H383" s="57"/>
      <c r="J383" s="57"/>
    </row>
    <row r="384">
      <c r="H384" s="57"/>
      <c r="J384" s="57"/>
    </row>
    <row r="385">
      <c r="H385" s="57"/>
      <c r="J385" s="57"/>
    </row>
    <row r="386">
      <c r="H386" s="57"/>
      <c r="J386" s="57"/>
    </row>
    <row r="387">
      <c r="H387" s="57"/>
      <c r="J387" s="57"/>
    </row>
    <row r="388">
      <c r="H388" s="57"/>
      <c r="J388" s="57"/>
    </row>
    <row r="389">
      <c r="H389" s="57"/>
      <c r="J389" s="57"/>
    </row>
    <row r="390">
      <c r="H390" s="57"/>
      <c r="J390" s="57"/>
    </row>
    <row r="391">
      <c r="H391" s="57"/>
      <c r="J391" s="57"/>
    </row>
    <row r="392">
      <c r="H392" s="57"/>
      <c r="J392" s="57"/>
    </row>
    <row r="393">
      <c r="H393" s="57"/>
      <c r="J393" s="57"/>
    </row>
    <row r="394">
      <c r="H394" s="57"/>
      <c r="J394" s="57"/>
    </row>
    <row r="395">
      <c r="H395" s="57"/>
      <c r="J395" s="57"/>
    </row>
    <row r="396">
      <c r="H396" s="57"/>
      <c r="J396" s="57"/>
    </row>
    <row r="397">
      <c r="H397" s="57"/>
      <c r="J397" s="57"/>
    </row>
    <row r="398">
      <c r="H398" s="57"/>
      <c r="J398" s="57"/>
    </row>
    <row r="399">
      <c r="H399" s="57"/>
      <c r="J399" s="57"/>
    </row>
    <row r="400">
      <c r="H400" s="57"/>
      <c r="J400" s="57"/>
    </row>
    <row r="401">
      <c r="H401" s="57"/>
      <c r="J401" s="57"/>
    </row>
    <row r="402">
      <c r="H402" s="57"/>
      <c r="J402" s="57"/>
    </row>
    <row r="403">
      <c r="H403" s="57"/>
      <c r="J403" s="57"/>
    </row>
    <row r="404">
      <c r="H404" s="57"/>
      <c r="J404" s="57"/>
    </row>
    <row r="405">
      <c r="H405" s="57"/>
      <c r="J405" s="57"/>
    </row>
    <row r="406">
      <c r="H406" s="57"/>
      <c r="J406" s="57"/>
    </row>
    <row r="407">
      <c r="H407" s="57"/>
      <c r="J407" s="57"/>
    </row>
    <row r="408">
      <c r="H408" s="57"/>
      <c r="J408" s="57"/>
    </row>
    <row r="409">
      <c r="H409" s="57"/>
      <c r="J409" s="57"/>
    </row>
    <row r="410">
      <c r="H410" s="57"/>
      <c r="J410" s="57"/>
    </row>
    <row r="411">
      <c r="H411" s="57"/>
      <c r="J411" s="57"/>
    </row>
    <row r="412">
      <c r="H412" s="57"/>
      <c r="J412" s="57"/>
    </row>
    <row r="413">
      <c r="H413" s="57"/>
      <c r="J413" s="57"/>
    </row>
    <row r="414">
      <c r="H414" s="57"/>
      <c r="J414" s="57"/>
    </row>
    <row r="415">
      <c r="H415" s="57"/>
      <c r="J415" s="57"/>
    </row>
    <row r="416">
      <c r="H416" s="57"/>
      <c r="J416" s="57"/>
    </row>
    <row r="417">
      <c r="H417" s="57"/>
      <c r="J417" s="57"/>
    </row>
    <row r="418">
      <c r="H418" s="57"/>
      <c r="J418" s="57"/>
    </row>
    <row r="419">
      <c r="H419" s="57"/>
      <c r="J419" s="57"/>
    </row>
    <row r="420">
      <c r="H420" s="57"/>
      <c r="J420" s="57"/>
    </row>
    <row r="421">
      <c r="H421" s="57"/>
      <c r="J421" s="57"/>
    </row>
    <row r="422">
      <c r="H422" s="57"/>
      <c r="J422" s="57"/>
    </row>
    <row r="423">
      <c r="H423" s="57"/>
      <c r="J423" s="57"/>
    </row>
    <row r="424">
      <c r="H424" s="57"/>
      <c r="J424" s="57"/>
    </row>
    <row r="425">
      <c r="H425" s="57"/>
      <c r="J425" s="57"/>
    </row>
    <row r="426">
      <c r="H426" s="57"/>
      <c r="J426" s="57"/>
    </row>
    <row r="427">
      <c r="H427" s="57"/>
      <c r="J427" s="57"/>
    </row>
    <row r="428">
      <c r="H428" s="57"/>
      <c r="J428" s="57"/>
    </row>
    <row r="429">
      <c r="H429" s="57"/>
      <c r="J429" s="57"/>
    </row>
    <row r="430">
      <c r="H430" s="57"/>
      <c r="J430" s="57"/>
    </row>
    <row r="431">
      <c r="H431" s="57"/>
      <c r="J431" s="57"/>
    </row>
    <row r="432">
      <c r="H432" s="57"/>
      <c r="J432" s="57"/>
    </row>
    <row r="433">
      <c r="H433" s="57"/>
      <c r="J433" s="57"/>
    </row>
    <row r="434">
      <c r="H434" s="57"/>
      <c r="J434" s="57"/>
    </row>
    <row r="435">
      <c r="H435" s="57"/>
      <c r="J435" s="57"/>
    </row>
    <row r="436">
      <c r="H436" s="57"/>
      <c r="J436" s="57"/>
    </row>
    <row r="437">
      <c r="H437" s="57"/>
      <c r="J437" s="57"/>
    </row>
    <row r="438">
      <c r="H438" s="57"/>
      <c r="J438" s="57"/>
    </row>
    <row r="439">
      <c r="H439" s="57"/>
      <c r="J439" s="57"/>
    </row>
    <row r="440">
      <c r="H440" s="57"/>
      <c r="J440" s="57"/>
    </row>
    <row r="441">
      <c r="H441" s="57"/>
      <c r="J441" s="57"/>
    </row>
    <row r="442">
      <c r="H442" s="57"/>
      <c r="J442" s="57"/>
    </row>
    <row r="443">
      <c r="H443" s="57"/>
      <c r="J443" s="57"/>
    </row>
    <row r="444">
      <c r="H444" s="57"/>
      <c r="J444" s="57"/>
    </row>
    <row r="445">
      <c r="H445" s="57"/>
      <c r="J445" s="57"/>
    </row>
    <row r="446">
      <c r="H446" s="57"/>
      <c r="J446" s="57"/>
    </row>
    <row r="447">
      <c r="H447" s="57"/>
      <c r="J447" s="57"/>
    </row>
    <row r="448">
      <c r="H448" s="57"/>
      <c r="J448" s="57"/>
    </row>
    <row r="449">
      <c r="H449" s="57"/>
      <c r="J449" s="57"/>
    </row>
    <row r="450">
      <c r="H450" s="57"/>
      <c r="J450" s="57"/>
    </row>
    <row r="451">
      <c r="H451" s="57"/>
      <c r="J451" s="57"/>
    </row>
    <row r="452">
      <c r="H452" s="57"/>
      <c r="J452" s="57"/>
    </row>
    <row r="453">
      <c r="H453" s="57"/>
      <c r="J453" s="57"/>
    </row>
    <row r="454">
      <c r="H454" s="57"/>
      <c r="J454" s="57"/>
    </row>
    <row r="455">
      <c r="H455" s="57"/>
      <c r="J455" s="57"/>
    </row>
    <row r="456">
      <c r="H456" s="57"/>
      <c r="J456" s="57"/>
    </row>
    <row r="457">
      <c r="H457" s="57"/>
      <c r="J457" s="57"/>
    </row>
    <row r="458">
      <c r="H458" s="57"/>
      <c r="J458" s="57"/>
    </row>
    <row r="459">
      <c r="H459" s="57"/>
      <c r="J459" s="57"/>
    </row>
    <row r="460">
      <c r="H460" s="57"/>
      <c r="J460" s="57"/>
    </row>
    <row r="461">
      <c r="H461" s="57"/>
      <c r="J461" s="57"/>
    </row>
    <row r="462">
      <c r="H462" s="57"/>
      <c r="J462" s="57"/>
    </row>
    <row r="463">
      <c r="H463" s="57"/>
      <c r="J463" s="57"/>
    </row>
    <row r="464">
      <c r="H464" s="57"/>
      <c r="J464" s="57"/>
    </row>
    <row r="465">
      <c r="H465" s="57"/>
      <c r="J465" s="57"/>
    </row>
    <row r="466">
      <c r="H466" s="57"/>
      <c r="J466" s="57"/>
    </row>
    <row r="467">
      <c r="H467" s="57"/>
      <c r="J467" s="57"/>
    </row>
    <row r="468">
      <c r="H468" s="57"/>
      <c r="J468" s="57"/>
    </row>
    <row r="469">
      <c r="H469" s="57"/>
      <c r="J469" s="57"/>
    </row>
    <row r="470">
      <c r="H470" s="57"/>
      <c r="J470" s="57"/>
    </row>
    <row r="471">
      <c r="H471" s="57"/>
      <c r="J471" s="57"/>
    </row>
    <row r="472">
      <c r="H472" s="57"/>
      <c r="J472" s="57"/>
    </row>
    <row r="473">
      <c r="H473" s="57"/>
      <c r="J473" s="57"/>
    </row>
    <row r="474">
      <c r="H474" s="57"/>
      <c r="J474" s="57"/>
    </row>
    <row r="475">
      <c r="H475" s="57"/>
      <c r="J475" s="57"/>
    </row>
    <row r="476">
      <c r="H476" s="57"/>
      <c r="J476" s="57"/>
    </row>
    <row r="477">
      <c r="H477" s="57"/>
      <c r="J477" s="57"/>
    </row>
    <row r="478">
      <c r="H478" s="57"/>
      <c r="J478" s="57"/>
    </row>
    <row r="479">
      <c r="H479" s="57"/>
      <c r="J479" s="57"/>
    </row>
    <row r="480">
      <c r="H480" s="57"/>
      <c r="J480" s="57"/>
    </row>
    <row r="481">
      <c r="H481" s="57"/>
      <c r="J481" s="57"/>
    </row>
    <row r="482">
      <c r="H482" s="57"/>
      <c r="J482" s="57"/>
    </row>
    <row r="483">
      <c r="H483" s="57"/>
      <c r="J483" s="57"/>
    </row>
    <row r="484">
      <c r="H484" s="57"/>
      <c r="J484" s="57"/>
    </row>
    <row r="485">
      <c r="H485" s="57"/>
      <c r="J485" s="57"/>
    </row>
    <row r="486">
      <c r="H486" s="57"/>
      <c r="J486" s="57"/>
    </row>
    <row r="487">
      <c r="H487" s="57"/>
      <c r="J487" s="57"/>
    </row>
    <row r="488">
      <c r="H488" s="57"/>
      <c r="J488" s="57"/>
    </row>
    <row r="489">
      <c r="H489" s="57"/>
      <c r="J489" s="57"/>
    </row>
    <row r="490">
      <c r="H490" s="57"/>
      <c r="J490" s="57"/>
    </row>
    <row r="491">
      <c r="H491" s="57"/>
      <c r="J491" s="57"/>
    </row>
    <row r="492">
      <c r="H492" s="57"/>
      <c r="J492" s="57"/>
    </row>
    <row r="493">
      <c r="H493" s="57"/>
      <c r="J493" s="57"/>
    </row>
    <row r="494">
      <c r="H494" s="57"/>
      <c r="J494" s="57"/>
    </row>
    <row r="495">
      <c r="H495" s="57"/>
      <c r="J495" s="57"/>
    </row>
    <row r="496">
      <c r="H496" s="57"/>
      <c r="J496" s="57"/>
    </row>
    <row r="497">
      <c r="H497" s="57"/>
      <c r="J497" s="57"/>
    </row>
    <row r="498">
      <c r="H498" s="57"/>
      <c r="J498" s="57"/>
    </row>
    <row r="499">
      <c r="H499" s="57"/>
      <c r="J499" s="57"/>
    </row>
    <row r="500">
      <c r="H500" s="57"/>
      <c r="J500" s="57"/>
    </row>
    <row r="501">
      <c r="H501" s="57"/>
      <c r="J501" s="57"/>
    </row>
    <row r="502">
      <c r="H502" s="57"/>
      <c r="J502" s="57"/>
    </row>
    <row r="503">
      <c r="H503" s="57"/>
      <c r="J503" s="57"/>
    </row>
    <row r="504">
      <c r="H504" s="57"/>
      <c r="J504" s="57"/>
    </row>
    <row r="505">
      <c r="H505" s="57"/>
      <c r="J505" s="57"/>
    </row>
    <row r="506">
      <c r="H506" s="57"/>
      <c r="J506" s="57"/>
    </row>
    <row r="507">
      <c r="H507" s="57"/>
      <c r="J507" s="57"/>
    </row>
    <row r="508">
      <c r="H508" s="57"/>
      <c r="J508" s="57"/>
    </row>
    <row r="509">
      <c r="H509" s="57"/>
      <c r="J509" s="57"/>
    </row>
    <row r="510">
      <c r="H510" s="57"/>
      <c r="J510" s="57"/>
    </row>
    <row r="511">
      <c r="H511" s="57"/>
      <c r="J511" s="57"/>
    </row>
    <row r="512">
      <c r="H512" s="57"/>
      <c r="J512" s="57"/>
    </row>
    <row r="513">
      <c r="H513" s="57"/>
      <c r="J513" s="57"/>
    </row>
    <row r="514">
      <c r="H514" s="57"/>
      <c r="J514" s="57"/>
    </row>
    <row r="515">
      <c r="H515" s="57"/>
      <c r="J515" s="57"/>
    </row>
    <row r="516">
      <c r="H516" s="57"/>
      <c r="J516" s="57"/>
    </row>
    <row r="517">
      <c r="H517" s="57"/>
      <c r="J517" s="57"/>
    </row>
    <row r="518">
      <c r="H518" s="57"/>
      <c r="J518" s="57"/>
    </row>
    <row r="519">
      <c r="H519" s="57"/>
      <c r="J519" s="57"/>
    </row>
    <row r="520">
      <c r="H520" s="57"/>
      <c r="J520" s="57"/>
    </row>
    <row r="521">
      <c r="H521" s="57"/>
      <c r="J521" s="57"/>
    </row>
    <row r="522">
      <c r="H522" s="57"/>
      <c r="J522" s="57"/>
    </row>
    <row r="523">
      <c r="H523" s="57"/>
      <c r="J523" s="57"/>
    </row>
    <row r="524">
      <c r="H524" s="57"/>
      <c r="J524" s="57"/>
    </row>
    <row r="525">
      <c r="H525" s="57"/>
      <c r="J525" s="57"/>
    </row>
    <row r="526">
      <c r="H526" s="57"/>
      <c r="J526" s="57"/>
    </row>
    <row r="527">
      <c r="H527" s="57"/>
      <c r="J527" s="57"/>
    </row>
    <row r="528">
      <c r="H528" s="57"/>
      <c r="J528" s="57"/>
    </row>
    <row r="529">
      <c r="H529" s="57"/>
      <c r="J529" s="57"/>
    </row>
    <row r="530">
      <c r="H530" s="57"/>
      <c r="J530" s="57"/>
    </row>
    <row r="531">
      <c r="H531" s="57"/>
      <c r="J531" s="57"/>
    </row>
    <row r="532">
      <c r="H532" s="57"/>
      <c r="J532" s="57"/>
    </row>
    <row r="533">
      <c r="H533" s="57"/>
      <c r="J533" s="57"/>
    </row>
    <row r="534">
      <c r="H534" s="57"/>
      <c r="J534" s="57"/>
    </row>
    <row r="535">
      <c r="H535" s="57"/>
      <c r="J535" s="57"/>
    </row>
    <row r="536">
      <c r="H536" s="57"/>
      <c r="J536" s="57"/>
    </row>
    <row r="537">
      <c r="H537" s="57"/>
      <c r="J537" s="57"/>
    </row>
    <row r="538">
      <c r="H538" s="57"/>
      <c r="J538" s="57"/>
    </row>
    <row r="539">
      <c r="H539" s="57"/>
      <c r="J539" s="57"/>
    </row>
    <row r="540">
      <c r="H540" s="57"/>
      <c r="J540" s="57"/>
    </row>
    <row r="541">
      <c r="H541" s="57"/>
      <c r="J541" s="57"/>
    </row>
    <row r="542">
      <c r="H542" s="57"/>
      <c r="J542" s="57"/>
    </row>
    <row r="543">
      <c r="H543" s="57"/>
      <c r="J543" s="57"/>
    </row>
    <row r="544">
      <c r="H544" s="57"/>
      <c r="J544" s="57"/>
    </row>
    <row r="545">
      <c r="H545" s="57"/>
      <c r="J545" s="57"/>
    </row>
    <row r="546">
      <c r="H546" s="57"/>
      <c r="J546" s="57"/>
    </row>
    <row r="547">
      <c r="H547" s="57"/>
      <c r="J547" s="57"/>
    </row>
    <row r="548">
      <c r="H548" s="57"/>
      <c r="J548" s="57"/>
    </row>
    <row r="549">
      <c r="H549" s="57"/>
      <c r="J549" s="57"/>
    </row>
    <row r="550">
      <c r="H550" s="57"/>
      <c r="J550" s="57"/>
    </row>
    <row r="551">
      <c r="H551" s="57"/>
      <c r="J551" s="57"/>
    </row>
    <row r="552">
      <c r="H552" s="57"/>
      <c r="J552" s="57"/>
    </row>
    <row r="553">
      <c r="H553" s="57"/>
      <c r="J553" s="57"/>
    </row>
    <row r="554">
      <c r="H554" s="57"/>
      <c r="J554" s="57"/>
    </row>
    <row r="555">
      <c r="H555" s="57"/>
      <c r="J555" s="57"/>
    </row>
    <row r="556">
      <c r="H556" s="57"/>
      <c r="J556" s="57"/>
    </row>
    <row r="557">
      <c r="H557" s="57"/>
      <c r="J557" s="57"/>
    </row>
    <row r="558">
      <c r="H558" s="57"/>
      <c r="J558" s="57"/>
    </row>
    <row r="559">
      <c r="H559" s="57"/>
      <c r="J559" s="57"/>
    </row>
    <row r="560">
      <c r="H560" s="57"/>
      <c r="J560" s="57"/>
    </row>
    <row r="561">
      <c r="H561" s="57"/>
      <c r="J561" s="57"/>
    </row>
    <row r="562">
      <c r="H562" s="57"/>
      <c r="J562" s="57"/>
    </row>
    <row r="563">
      <c r="H563" s="57"/>
      <c r="J563" s="57"/>
    </row>
    <row r="564">
      <c r="H564" s="57"/>
      <c r="J564" s="57"/>
    </row>
    <row r="565">
      <c r="H565" s="57"/>
      <c r="J565" s="57"/>
    </row>
    <row r="566">
      <c r="H566" s="57"/>
      <c r="J566" s="57"/>
    </row>
    <row r="567">
      <c r="H567" s="57"/>
      <c r="J567" s="57"/>
    </row>
    <row r="568">
      <c r="H568" s="57"/>
      <c r="J568" s="57"/>
    </row>
    <row r="569">
      <c r="H569" s="57"/>
      <c r="J569" s="57"/>
    </row>
    <row r="570">
      <c r="H570" s="57"/>
      <c r="J570" s="57"/>
    </row>
    <row r="571">
      <c r="H571" s="57"/>
      <c r="J571" s="57"/>
    </row>
    <row r="572">
      <c r="H572" s="57"/>
      <c r="J572" s="57"/>
    </row>
    <row r="573">
      <c r="H573" s="57"/>
      <c r="J573" s="57"/>
    </row>
    <row r="574">
      <c r="H574" s="57"/>
      <c r="J574" s="57"/>
    </row>
    <row r="575">
      <c r="H575" s="57"/>
      <c r="J575" s="57"/>
    </row>
    <row r="576">
      <c r="H576" s="57"/>
      <c r="J576" s="57"/>
    </row>
    <row r="577">
      <c r="H577" s="57"/>
      <c r="J577" s="57"/>
    </row>
    <row r="578">
      <c r="H578" s="57"/>
      <c r="J578" s="57"/>
    </row>
    <row r="579">
      <c r="H579" s="57"/>
      <c r="J579" s="57"/>
    </row>
    <row r="580">
      <c r="H580" s="57"/>
      <c r="J580" s="57"/>
    </row>
    <row r="581">
      <c r="H581" s="57"/>
      <c r="J581" s="57"/>
    </row>
    <row r="582">
      <c r="H582" s="57"/>
      <c r="J582" s="57"/>
    </row>
    <row r="583">
      <c r="H583" s="57"/>
      <c r="J583" s="57"/>
    </row>
    <row r="584">
      <c r="H584" s="57"/>
      <c r="J584" s="57"/>
    </row>
    <row r="585">
      <c r="H585" s="57"/>
      <c r="J585" s="57"/>
    </row>
    <row r="586">
      <c r="H586" s="57"/>
      <c r="J586" s="57"/>
    </row>
    <row r="587">
      <c r="H587" s="57"/>
      <c r="J587" s="57"/>
    </row>
    <row r="588">
      <c r="H588" s="57"/>
      <c r="J588" s="57"/>
    </row>
    <row r="589">
      <c r="H589" s="57"/>
      <c r="J589" s="57"/>
    </row>
    <row r="590">
      <c r="H590" s="57"/>
      <c r="J590" s="57"/>
    </row>
    <row r="591">
      <c r="H591" s="57"/>
      <c r="J591" s="57"/>
    </row>
    <row r="592">
      <c r="H592" s="57"/>
      <c r="J592" s="57"/>
    </row>
    <row r="593">
      <c r="H593" s="57"/>
      <c r="J593" s="57"/>
    </row>
    <row r="594">
      <c r="H594" s="57"/>
      <c r="J594" s="57"/>
    </row>
    <row r="595">
      <c r="H595" s="57"/>
      <c r="J595" s="57"/>
    </row>
    <row r="596">
      <c r="H596" s="57"/>
      <c r="J596" s="57"/>
    </row>
    <row r="597">
      <c r="H597" s="57"/>
      <c r="J597" s="57"/>
    </row>
    <row r="598">
      <c r="H598" s="57"/>
      <c r="J598" s="57"/>
    </row>
    <row r="599">
      <c r="H599" s="57"/>
      <c r="J599" s="57"/>
    </row>
    <row r="600">
      <c r="H600" s="57"/>
      <c r="J600" s="57"/>
    </row>
    <row r="601">
      <c r="H601" s="57"/>
      <c r="J601" s="57"/>
    </row>
    <row r="602">
      <c r="H602" s="57"/>
      <c r="J602" s="57"/>
    </row>
    <row r="603">
      <c r="H603" s="57"/>
      <c r="J603" s="57"/>
    </row>
    <row r="604">
      <c r="H604" s="57"/>
      <c r="J604" s="57"/>
    </row>
    <row r="605">
      <c r="H605" s="57"/>
      <c r="J605" s="57"/>
    </row>
    <row r="606">
      <c r="H606" s="57"/>
      <c r="J606" s="57"/>
    </row>
    <row r="607">
      <c r="H607" s="57"/>
      <c r="J607" s="57"/>
    </row>
    <row r="608">
      <c r="H608" s="57"/>
      <c r="J608" s="57"/>
    </row>
    <row r="609">
      <c r="H609" s="57"/>
      <c r="J609" s="57"/>
    </row>
    <row r="610">
      <c r="H610" s="57"/>
      <c r="J610" s="57"/>
    </row>
    <row r="611">
      <c r="H611" s="57"/>
      <c r="J611" s="57"/>
    </row>
    <row r="612">
      <c r="H612" s="57"/>
      <c r="J612" s="57"/>
    </row>
    <row r="613">
      <c r="H613" s="57"/>
      <c r="J613" s="57"/>
    </row>
    <row r="614">
      <c r="H614" s="57"/>
      <c r="J614" s="57"/>
    </row>
    <row r="615">
      <c r="H615" s="57"/>
      <c r="J615" s="57"/>
    </row>
    <row r="616">
      <c r="H616" s="57"/>
      <c r="J616" s="57"/>
    </row>
    <row r="617">
      <c r="H617" s="57"/>
      <c r="J617" s="57"/>
    </row>
    <row r="618">
      <c r="H618" s="57"/>
      <c r="J618" s="57"/>
    </row>
    <row r="619">
      <c r="H619" s="57"/>
      <c r="J619" s="57"/>
    </row>
    <row r="620">
      <c r="H620" s="57"/>
      <c r="J620" s="57"/>
    </row>
    <row r="621">
      <c r="H621" s="57"/>
      <c r="J621" s="57"/>
    </row>
    <row r="622">
      <c r="H622" s="57"/>
      <c r="J622" s="57"/>
    </row>
    <row r="623">
      <c r="H623" s="57"/>
      <c r="J623" s="57"/>
    </row>
    <row r="624">
      <c r="H624" s="57"/>
      <c r="J624" s="57"/>
    </row>
    <row r="625">
      <c r="H625" s="57"/>
      <c r="J625" s="57"/>
    </row>
    <row r="626">
      <c r="H626" s="57"/>
      <c r="J626" s="57"/>
    </row>
    <row r="627">
      <c r="H627" s="57"/>
      <c r="J627" s="57"/>
    </row>
    <row r="628">
      <c r="H628" s="57"/>
      <c r="J628" s="57"/>
    </row>
    <row r="629">
      <c r="H629" s="57"/>
      <c r="J629" s="57"/>
    </row>
    <row r="630">
      <c r="H630" s="57"/>
      <c r="J630" s="57"/>
    </row>
    <row r="631">
      <c r="H631" s="57"/>
      <c r="J631" s="57"/>
    </row>
    <row r="632">
      <c r="H632" s="57"/>
      <c r="J632" s="57"/>
    </row>
    <row r="633">
      <c r="H633" s="57"/>
      <c r="J633" s="57"/>
    </row>
    <row r="634">
      <c r="H634" s="57"/>
      <c r="J634" s="57"/>
    </row>
    <row r="635">
      <c r="H635" s="57"/>
      <c r="J635" s="57"/>
    </row>
    <row r="636">
      <c r="H636" s="57"/>
      <c r="J636" s="57"/>
    </row>
    <row r="637">
      <c r="H637" s="57"/>
      <c r="J637" s="57"/>
    </row>
    <row r="638">
      <c r="H638" s="57"/>
      <c r="J638" s="57"/>
    </row>
    <row r="639">
      <c r="H639" s="57"/>
      <c r="J639" s="57"/>
    </row>
    <row r="640">
      <c r="H640" s="57"/>
      <c r="J640" s="57"/>
    </row>
    <row r="641">
      <c r="H641" s="57"/>
      <c r="J641" s="57"/>
    </row>
    <row r="642">
      <c r="H642" s="57"/>
      <c r="J642" s="57"/>
    </row>
    <row r="643">
      <c r="H643" s="57"/>
      <c r="J643" s="57"/>
    </row>
    <row r="644">
      <c r="H644" s="57"/>
      <c r="J644" s="57"/>
    </row>
    <row r="645">
      <c r="H645" s="57"/>
      <c r="J645" s="57"/>
    </row>
    <row r="646">
      <c r="H646" s="57"/>
      <c r="J646" s="57"/>
    </row>
    <row r="647">
      <c r="H647" s="57"/>
      <c r="J647" s="57"/>
    </row>
    <row r="648">
      <c r="H648" s="57"/>
      <c r="J648" s="57"/>
    </row>
    <row r="649">
      <c r="H649" s="57"/>
      <c r="J649" s="57"/>
    </row>
    <row r="650">
      <c r="H650" s="57"/>
      <c r="J650" s="57"/>
    </row>
    <row r="651">
      <c r="H651" s="57"/>
      <c r="J651" s="57"/>
    </row>
    <row r="652">
      <c r="H652" s="57"/>
      <c r="J652" s="57"/>
    </row>
    <row r="653">
      <c r="H653" s="57"/>
      <c r="J653" s="57"/>
    </row>
    <row r="654">
      <c r="H654" s="57"/>
      <c r="J654" s="57"/>
    </row>
    <row r="655">
      <c r="H655" s="57"/>
      <c r="J655" s="57"/>
    </row>
    <row r="656">
      <c r="H656" s="57"/>
      <c r="J656" s="57"/>
    </row>
    <row r="657">
      <c r="H657" s="57"/>
      <c r="J657" s="57"/>
    </row>
    <row r="658">
      <c r="H658" s="57"/>
      <c r="J658" s="57"/>
    </row>
    <row r="659">
      <c r="H659" s="57"/>
      <c r="J659" s="57"/>
    </row>
    <row r="660">
      <c r="H660" s="57"/>
      <c r="J660" s="57"/>
    </row>
    <row r="661">
      <c r="H661" s="57"/>
      <c r="J661" s="57"/>
    </row>
    <row r="662">
      <c r="H662" s="57"/>
      <c r="J662" s="57"/>
    </row>
    <row r="663">
      <c r="H663" s="57"/>
      <c r="J663" s="57"/>
    </row>
    <row r="664">
      <c r="H664" s="57"/>
      <c r="J664" s="57"/>
    </row>
    <row r="665">
      <c r="H665" s="57"/>
      <c r="J665" s="57"/>
    </row>
    <row r="666">
      <c r="H666" s="57"/>
      <c r="J666" s="57"/>
    </row>
    <row r="667">
      <c r="H667" s="57"/>
      <c r="J667" s="57"/>
    </row>
    <row r="668">
      <c r="H668" s="57"/>
      <c r="J668" s="57"/>
    </row>
    <row r="669">
      <c r="H669" s="57"/>
      <c r="J669" s="57"/>
    </row>
    <row r="670">
      <c r="H670" s="57"/>
      <c r="J670" s="57"/>
    </row>
    <row r="671">
      <c r="H671" s="57"/>
      <c r="J671" s="57"/>
    </row>
    <row r="672">
      <c r="H672" s="57"/>
      <c r="J672" s="57"/>
    </row>
    <row r="673">
      <c r="H673" s="57"/>
      <c r="J673" s="57"/>
    </row>
    <row r="674">
      <c r="H674" s="57"/>
      <c r="J674" s="57"/>
    </row>
    <row r="675">
      <c r="H675" s="57"/>
      <c r="J675" s="57"/>
    </row>
    <row r="676">
      <c r="H676" s="57"/>
      <c r="J676" s="57"/>
    </row>
    <row r="677">
      <c r="H677" s="57"/>
      <c r="J677" s="57"/>
    </row>
    <row r="678">
      <c r="H678" s="57"/>
      <c r="J678" s="57"/>
    </row>
    <row r="679">
      <c r="H679" s="57"/>
      <c r="J679" s="57"/>
    </row>
    <row r="680">
      <c r="H680" s="57"/>
      <c r="J680" s="57"/>
    </row>
    <row r="681">
      <c r="H681" s="57"/>
      <c r="J681" s="57"/>
    </row>
    <row r="682">
      <c r="H682" s="57"/>
      <c r="J682" s="57"/>
    </row>
    <row r="683">
      <c r="H683" s="57"/>
      <c r="J683" s="57"/>
    </row>
    <row r="684">
      <c r="H684" s="57"/>
      <c r="J684" s="57"/>
    </row>
    <row r="685">
      <c r="H685" s="57"/>
      <c r="J685" s="57"/>
    </row>
    <row r="686">
      <c r="H686" s="57"/>
      <c r="J686" s="57"/>
    </row>
    <row r="687">
      <c r="H687" s="57"/>
      <c r="J687" s="57"/>
    </row>
    <row r="688">
      <c r="H688" s="57"/>
      <c r="J688" s="57"/>
    </row>
    <row r="689">
      <c r="H689" s="57"/>
      <c r="J689" s="57"/>
    </row>
    <row r="690">
      <c r="H690" s="57"/>
      <c r="J690" s="57"/>
    </row>
    <row r="691">
      <c r="H691" s="57"/>
      <c r="J691" s="57"/>
    </row>
    <row r="692">
      <c r="H692" s="57"/>
      <c r="J692" s="57"/>
    </row>
    <row r="693">
      <c r="H693" s="57"/>
      <c r="J693" s="57"/>
    </row>
    <row r="694">
      <c r="H694" s="57"/>
      <c r="J694" s="57"/>
    </row>
    <row r="695">
      <c r="H695" s="57"/>
      <c r="J695" s="57"/>
    </row>
    <row r="696">
      <c r="H696" s="57"/>
      <c r="J696" s="57"/>
    </row>
    <row r="697">
      <c r="H697" s="57"/>
      <c r="J697" s="57"/>
    </row>
    <row r="698">
      <c r="H698" s="57"/>
      <c r="J698" s="57"/>
    </row>
    <row r="699">
      <c r="H699" s="57"/>
      <c r="J699" s="57"/>
    </row>
    <row r="700">
      <c r="H700" s="57"/>
      <c r="J700" s="57"/>
    </row>
    <row r="701">
      <c r="H701" s="57"/>
      <c r="J701" s="57"/>
    </row>
    <row r="702">
      <c r="H702" s="57"/>
      <c r="J702" s="57"/>
    </row>
    <row r="703">
      <c r="H703" s="57"/>
      <c r="J703" s="57"/>
    </row>
    <row r="704">
      <c r="H704" s="57"/>
      <c r="J704" s="57"/>
    </row>
    <row r="705">
      <c r="H705" s="57"/>
      <c r="J705" s="57"/>
    </row>
    <row r="706">
      <c r="H706" s="57"/>
      <c r="J706" s="57"/>
    </row>
    <row r="707">
      <c r="H707" s="57"/>
      <c r="J707" s="57"/>
    </row>
    <row r="708">
      <c r="H708" s="57"/>
      <c r="J708" s="57"/>
    </row>
    <row r="709">
      <c r="H709" s="57"/>
      <c r="J709" s="57"/>
    </row>
    <row r="710">
      <c r="H710" s="57"/>
      <c r="J710" s="57"/>
    </row>
    <row r="711">
      <c r="H711" s="57"/>
      <c r="J711" s="57"/>
    </row>
    <row r="712">
      <c r="H712" s="57"/>
      <c r="J712" s="57"/>
    </row>
    <row r="713">
      <c r="H713" s="57"/>
      <c r="J713" s="57"/>
    </row>
    <row r="714">
      <c r="H714" s="57"/>
      <c r="J714" s="57"/>
    </row>
    <row r="715">
      <c r="H715" s="57"/>
      <c r="J715" s="57"/>
    </row>
    <row r="716">
      <c r="H716" s="57"/>
      <c r="J716" s="57"/>
    </row>
    <row r="717">
      <c r="H717" s="57"/>
      <c r="J717" s="57"/>
    </row>
    <row r="718">
      <c r="H718" s="57"/>
      <c r="J718" s="57"/>
    </row>
    <row r="719">
      <c r="H719" s="57"/>
      <c r="J719" s="57"/>
    </row>
    <row r="720">
      <c r="H720" s="57"/>
      <c r="J720" s="57"/>
    </row>
    <row r="721">
      <c r="H721" s="57"/>
      <c r="J721" s="57"/>
    </row>
    <row r="722">
      <c r="H722" s="57"/>
      <c r="J722" s="57"/>
    </row>
    <row r="723">
      <c r="H723" s="57"/>
      <c r="J723" s="57"/>
    </row>
    <row r="724">
      <c r="H724" s="57"/>
      <c r="J724" s="57"/>
    </row>
    <row r="725">
      <c r="H725" s="57"/>
      <c r="J725" s="57"/>
    </row>
    <row r="726">
      <c r="H726" s="57"/>
      <c r="J726" s="57"/>
    </row>
    <row r="727">
      <c r="H727" s="57"/>
      <c r="J727" s="57"/>
    </row>
    <row r="728">
      <c r="H728" s="57"/>
      <c r="J728" s="57"/>
    </row>
    <row r="729">
      <c r="H729" s="57"/>
      <c r="J729" s="57"/>
    </row>
    <row r="730">
      <c r="H730" s="57"/>
      <c r="J730" s="57"/>
    </row>
    <row r="731">
      <c r="H731" s="57"/>
      <c r="J731" s="57"/>
    </row>
    <row r="732">
      <c r="H732" s="57"/>
      <c r="J732" s="57"/>
    </row>
    <row r="733">
      <c r="H733" s="57"/>
      <c r="J733" s="57"/>
    </row>
    <row r="734">
      <c r="H734" s="57"/>
      <c r="J734" s="57"/>
    </row>
    <row r="735">
      <c r="H735" s="57"/>
      <c r="J735" s="57"/>
    </row>
    <row r="736">
      <c r="H736" s="57"/>
      <c r="J736" s="57"/>
    </row>
    <row r="737">
      <c r="H737" s="57"/>
      <c r="J737" s="57"/>
    </row>
    <row r="738">
      <c r="H738" s="57"/>
      <c r="J738" s="57"/>
    </row>
    <row r="739">
      <c r="H739" s="57"/>
      <c r="J739" s="57"/>
    </row>
    <row r="740">
      <c r="H740" s="57"/>
      <c r="J740" s="57"/>
    </row>
    <row r="741">
      <c r="H741" s="57"/>
      <c r="J741" s="57"/>
    </row>
    <row r="742">
      <c r="H742" s="57"/>
      <c r="J742" s="57"/>
    </row>
    <row r="743">
      <c r="H743" s="57"/>
      <c r="J743" s="57"/>
    </row>
    <row r="744">
      <c r="H744" s="57"/>
      <c r="J744" s="57"/>
    </row>
    <row r="745">
      <c r="H745" s="57"/>
      <c r="J745" s="57"/>
    </row>
    <row r="746">
      <c r="H746" s="57"/>
      <c r="J746" s="57"/>
    </row>
    <row r="747">
      <c r="H747" s="57"/>
      <c r="J747" s="57"/>
    </row>
    <row r="748">
      <c r="H748" s="57"/>
      <c r="J748" s="57"/>
    </row>
    <row r="749">
      <c r="H749" s="57"/>
      <c r="J749" s="57"/>
    </row>
    <row r="750">
      <c r="H750" s="57"/>
      <c r="J750" s="57"/>
    </row>
    <row r="751">
      <c r="H751" s="57"/>
      <c r="J751" s="57"/>
    </row>
    <row r="752">
      <c r="H752" s="57"/>
      <c r="J752" s="57"/>
    </row>
    <row r="753">
      <c r="H753" s="57"/>
      <c r="J753" s="57"/>
    </row>
    <row r="754">
      <c r="H754" s="57"/>
      <c r="J754" s="57"/>
    </row>
    <row r="755">
      <c r="H755" s="57"/>
      <c r="J755" s="57"/>
    </row>
    <row r="756">
      <c r="H756" s="57"/>
      <c r="J756" s="57"/>
    </row>
    <row r="757">
      <c r="H757" s="57"/>
      <c r="J757" s="57"/>
    </row>
    <row r="758">
      <c r="H758" s="57"/>
      <c r="J758" s="57"/>
    </row>
    <row r="759">
      <c r="H759" s="57"/>
      <c r="J759" s="57"/>
    </row>
    <row r="760">
      <c r="H760" s="57"/>
      <c r="J760" s="57"/>
    </row>
    <row r="761">
      <c r="H761" s="57"/>
      <c r="J761" s="57"/>
    </row>
    <row r="762">
      <c r="H762" s="57"/>
      <c r="J762" s="57"/>
    </row>
    <row r="763">
      <c r="H763" s="57"/>
      <c r="J763" s="57"/>
    </row>
    <row r="764">
      <c r="H764" s="57"/>
      <c r="J764" s="57"/>
    </row>
    <row r="765">
      <c r="H765" s="57"/>
      <c r="J765" s="57"/>
    </row>
    <row r="766">
      <c r="H766" s="57"/>
      <c r="J766" s="57"/>
    </row>
    <row r="767">
      <c r="H767" s="57"/>
      <c r="J767" s="57"/>
    </row>
    <row r="768">
      <c r="H768" s="57"/>
      <c r="J768" s="57"/>
    </row>
    <row r="769">
      <c r="H769" s="57"/>
      <c r="J769" s="57"/>
    </row>
    <row r="770">
      <c r="H770" s="57"/>
      <c r="J770" s="57"/>
    </row>
    <row r="771">
      <c r="H771" s="57"/>
      <c r="J771" s="57"/>
    </row>
    <row r="772">
      <c r="H772" s="57"/>
      <c r="J772" s="57"/>
    </row>
    <row r="773">
      <c r="H773" s="57"/>
      <c r="J773" s="57"/>
    </row>
    <row r="774">
      <c r="H774" s="57"/>
      <c r="J774" s="57"/>
    </row>
    <row r="775">
      <c r="H775" s="57"/>
      <c r="J775" s="57"/>
    </row>
    <row r="776">
      <c r="H776" s="57"/>
      <c r="J776" s="57"/>
    </row>
    <row r="777">
      <c r="H777" s="57"/>
      <c r="J777" s="57"/>
    </row>
    <row r="778">
      <c r="H778" s="57"/>
      <c r="J778" s="57"/>
    </row>
    <row r="779">
      <c r="H779" s="57"/>
      <c r="J779" s="57"/>
    </row>
    <row r="780">
      <c r="H780" s="57"/>
      <c r="J780" s="57"/>
    </row>
    <row r="781">
      <c r="H781" s="57"/>
      <c r="J781" s="57"/>
    </row>
    <row r="782">
      <c r="H782" s="57"/>
      <c r="J782" s="57"/>
    </row>
    <row r="783">
      <c r="H783" s="57"/>
      <c r="J783" s="57"/>
    </row>
    <row r="784">
      <c r="H784" s="57"/>
      <c r="J784" s="57"/>
    </row>
    <row r="785">
      <c r="H785" s="57"/>
      <c r="J785" s="57"/>
    </row>
    <row r="786">
      <c r="H786" s="57"/>
      <c r="J786" s="57"/>
    </row>
    <row r="787">
      <c r="H787" s="57"/>
      <c r="J787" s="57"/>
    </row>
    <row r="788">
      <c r="H788" s="57"/>
      <c r="J788" s="57"/>
    </row>
    <row r="789">
      <c r="H789" s="57"/>
      <c r="J789" s="57"/>
    </row>
    <row r="790">
      <c r="H790" s="57"/>
      <c r="J790" s="57"/>
    </row>
    <row r="791">
      <c r="H791" s="57"/>
      <c r="J791" s="57"/>
    </row>
    <row r="792">
      <c r="H792" s="57"/>
      <c r="J792" s="57"/>
    </row>
    <row r="793">
      <c r="H793" s="57"/>
      <c r="J793" s="57"/>
    </row>
    <row r="794">
      <c r="H794" s="57"/>
      <c r="J794" s="57"/>
    </row>
    <row r="795">
      <c r="H795" s="57"/>
      <c r="J795" s="57"/>
    </row>
    <row r="796">
      <c r="H796" s="57"/>
      <c r="J796" s="57"/>
    </row>
    <row r="797">
      <c r="H797" s="57"/>
      <c r="J797" s="57"/>
    </row>
    <row r="798">
      <c r="H798" s="57"/>
      <c r="J798" s="57"/>
    </row>
    <row r="799">
      <c r="H799" s="57"/>
      <c r="J799" s="57"/>
    </row>
    <row r="800">
      <c r="H800" s="57"/>
      <c r="J800" s="57"/>
    </row>
    <row r="801">
      <c r="H801" s="57"/>
      <c r="J801" s="57"/>
    </row>
    <row r="802">
      <c r="H802" s="57"/>
      <c r="J802" s="57"/>
    </row>
    <row r="803">
      <c r="H803" s="57"/>
      <c r="J803" s="57"/>
    </row>
    <row r="804">
      <c r="H804" s="57"/>
      <c r="J804" s="57"/>
    </row>
    <row r="805">
      <c r="H805" s="57"/>
      <c r="J805" s="57"/>
    </row>
    <row r="806">
      <c r="H806" s="57"/>
      <c r="J806" s="57"/>
    </row>
    <row r="807">
      <c r="H807" s="57"/>
      <c r="J807" s="57"/>
    </row>
    <row r="808">
      <c r="H808" s="57"/>
      <c r="J808" s="57"/>
    </row>
    <row r="809">
      <c r="H809" s="57"/>
      <c r="J809" s="57"/>
    </row>
    <row r="810">
      <c r="H810" s="57"/>
      <c r="J810" s="57"/>
    </row>
    <row r="811">
      <c r="H811" s="57"/>
      <c r="J811" s="57"/>
    </row>
    <row r="812">
      <c r="H812" s="57"/>
      <c r="J812" s="57"/>
    </row>
    <row r="813">
      <c r="H813" s="57"/>
      <c r="J813" s="57"/>
    </row>
    <row r="814">
      <c r="H814" s="57"/>
      <c r="J814" s="57"/>
    </row>
    <row r="815">
      <c r="H815" s="57"/>
      <c r="J815" s="57"/>
    </row>
    <row r="816">
      <c r="H816" s="57"/>
      <c r="J816" s="57"/>
    </row>
    <row r="817">
      <c r="H817" s="57"/>
      <c r="J817" s="57"/>
    </row>
    <row r="818">
      <c r="H818" s="57"/>
      <c r="J818" s="57"/>
    </row>
    <row r="819">
      <c r="H819" s="57"/>
      <c r="J819" s="57"/>
    </row>
    <row r="820">
      <c r="H820" s="57"/>
      <c r="J820" s="57"/>
    </row>
    <row r="821">
      <c r="H821" s="57"/>
      <c r="J821" s="57"/>
    </row>
    <row r="822">
      <c r="H822" s="57"/>
      <c r="J822" s="57"/>
    </row>
    <row r="823">
      <c r="H823" s="57"/>
      <c r="J823" s="57"/>
    </row>
    <row r="824">
      <c r="H824" s="57"/>
      <c r="J824" s="57"/>
    </row>
    <row r="825">
      <c r="H825" s="57"/>
      <c r="J825" s="57"/>
    </row>
    <row r="826">
      <c r="H826" s="57"/>
      <c r="J826" s="57"/>
    </row>
    <row r="827">
      <c r="H827" s="57"/>
      <c r="J827" s="57"/>
    </row>
    <row r="828">
      <c r="H828" s="57"/>
      <c r="J828" s="57"/>
    </row>
    <row r="829">
      <c r="H829" s="57"/>
      <c r="J829" s="57"/>
    </row>
    <row r="830">
      <c r="H830" s="57"/>
      <c r="J830" s="57"/>
    </row>
    <row r="831">
      <c r="H831" s="57"/>
      <c r="J831" s="57"/>
    </row>
    <row r="832">
      <c r="H832" s="57"/>
      <c r="J832" s="57"/>
    </row>
    <row r="833">
      <c r="H833" s="57"/>
      <c r="J833" s="57"/>
    </row>
    <row r="834">
      <c r="H834" s="57"/>
      <c r="J834" s="57"/>
    </row>
    <row r="835">
      <c r="H835" s="57"/>
      <c r="J835" s="57"/>
    </row>
    <row r="836">
      <c r="H836" s="57"/>
      <c r="J836" s="57"/>
    </row>
    <row r="837">
      <c r="H837" s="57"/>
      <c r="J837" s="57"/>
    </row>
    <row r="838">
      <c r="H838" s="57"/>
      <c r="J838" s="57"/>
    </row>
    <row r="839">
      <c r="H839" s="57"/>
      <c r="J839" s="57"/>
    </row>
    <row r="840">
      <c r="H840" s="57"/>
      <c r="J840" s="57"/>
    </row>
    <row r="841">
      <c r="H841" s="57"/>
      <c r="J841" s="57"/>
    </row>
    <row r="842">
      <c r="H842" s="57"/>
      <c r="J842" s="57"/>
    </row>
    <row r="843">
      <c r="H843" s="57"/>
      <c r="J843" s="57"/>
    </row>
    <row r="844">
      <c r="H844" s="57"/>
      <c r="J844" s="57"/>
    </row>
    <row r="845">
      <c r="H845" s="57"/>
      <c r="J845" s="57"/>
    </row>
    <row r="846">
      <c r="H846" s="57"/>
      <c r="J846" s="57"/>
    </row>
    <row r="847">
      <c r="H847" s="57"/>
      <c r="J847" s="57"/>
    </row>
    <row r="848">
      <c r="H848" s="57"/>
      <c r="J848" s="57"/>
    </row>
    <row r="849">
      <c r="H849" s="57"/>
      <c r="J849" s="57"/>
    </row>
    <row r="850">
      <c r="H850" s="57"/>
      <c r="J850" s="57"/>
    </row>
    <row r="851">
      <c r="H851" s="57"/>
      <c r="J851" s="57"/>
    </row>
    <row r="852">
      <c r="H852" s="57"/>
      <c r="J852" s="57"/>
    </row>
    <row r="853">
      <c r="H853" s="57"/>
      <c r="J853" s="57"/>
    </row>
    <row r="854">
      <c r="H854" s="57"/>
      <c r="J854" s="57"/>
    </row>
    <row r="855">
      <c r="H855" s="57"/>
      <c r="J855" s="57"/>
    </row>
    <row r="856">
      <c r="H856" s="57"/>
      <c r="J856" s="57"/>
    </row>
    <row r="857">
      <c r="H857" s="57"/>
      <c r="J857" s="57"/>
    </row>
    <row r="858">
      <c r="H858" s="57"/>
      <c r="J858" s="57"/>
    </row>
    <row r="859">
      <c r="H859" s="57"/>
      <c r="J859" s="57"/>
    </row>
    <row r="860">
      <c r="H860" s="57"/>
      <c r="J860" s="57"/>
    </row>
    <row r="861">
      <c r="H861" s="57"/>
      <c r="J861" s="57"/>
    </row>
    <row r="862">
      <c r="H862" s="57"/>
      <c r="J862" s="57"/>
    </row>
    <row r="863">
      <c r="H863" s="57"/>
      <c r="J863" s="57"/>
    </row>
    <row r="864">
      <c r="H864" s="57"/>
      <c r="J864" s="57"/>
    </row>
    <row r="865">
      <c r="H865" s="57"/>
      <c r="J865" s="57"/>
    </row>
    <row r="866">
      <c r="H866" s="57"/>
      <c r="J866" s="57"/>
    </row>
    <row r="867">
      <c r="H867" s="57"/>
      <c r="J867" s="57"/>
    </row>
    <row r="868">
      <c r="H868" s="57"/>
      <c r="J868" s="57"/>
    </row>
    <row r="869">
      <c r="H869" s="57"/>
      <c r="J869" s="57"/>
    </row>
    <row r="870">
      <c r="H870" s="57"/>
      <c r="J870" s="57"/>
    </row>
    <row r="871">
      <c r="H871" s="57"/>
      <c r="J871" s="57"/>
    </row>
    <row r="872">
      <c r="H872" s="57"/>
      <c r="J872" s="57"/>
    </row>
    <row r="873">
      <c r="H873" s="57"/>
      <c r="J873" s="57"/>
    </row>
    <row r="874">
      <c r="H874" s="57"/>
      <c r="J874" s="57"/>
    </row>
    <row r="875">
      <c r="H875" s="57"/>
      <c r="J875" s="57"/>
    </row>
    <row r="876">
      <c r="H876" s="57"/>
      <c r="J876" s="57"/>
    </row>
    <row r="877">
      <c r="H877" s="57"/>
      <c r="J877" s="57"/>
    </row>
    <row r="878">
      <c r="H878" s="57"/>
      <c r="J878" s="57"/>
    </row>
    <row r="879">
      <c r="H879" s="57"/>
      <c r="J879" s="57"/>
    </row>
    <row r="880">
      <c r="H880" s="57"/>
      <c r="J880" s="57"/>
    </row>
    <row r="881">
      <c r="H881" s="57"/>
      <c r="J881" s="57"/>
    </row>
    <row r="882">
      <c r="H882" s="57"/>
      <c r="J882" s="57"/>
    </row>
    <row r="883">
      <c r="H883" s="57"/>
      <c r="J883" s="57"/>
    </row>
    <row r="884">
      <c r="H884" s="57"/>
      <c r="J884" s="57"/>
    </row>
    <row r="885">
      <c r="H885" s="57"/>
      <c r="J885" s="57"/>
    </row>
    <row r="886">
      <c r="H886" s="57"/>
      <c r="J886" s="57"/>
    </row>
    <row r="887">
      <c r="H887" s="57"/>
      <c r="J887" s="57"/>
    </row>
    <row r="888">
      <c r="H888" s="57"/>
      <c r="J888" s="57"/>
    </row>
    <row r="889">
      <c r="H889" s="57"/>
      <c r="J889" s="57"/>
    </row>
    <row r="890">
      <c r="H890" s="57"/>
      <c r="J890" s="57"/>
    </row>
    <row r="891">
      <c r="H891" s="57"/>
      <c r="J891" s="57"/>
    </row>
    <row r="892">
      <c r="H892" s="57"/>
      <c r="J892" s="57"/>
    </row>
    <row r="893">
      <c r="H893" s="57"/>
      <c r="J893" s="57"/>
    </row>
    <row r="894">
      <c r="H894" s="57"/>
      <c r="J894" s="57"/>
    </row>
    <row r="895">
      <c r="H895" s="57"/>
      <c r="J895" s="57"/>
    </row>
    <row r="896">
      <c r="H896" s="57"/>
      <c r="J896" s="57"/>
    </row>
    <row r="897">
      <c r="H897" s="57"/>
      <c r="J897" s="57"/>
    </row>
    <row r="898">
      <c r="H898" s="57"/>
      <c r="J898" s="57"/>
    </row>
    <row r="899">
      <c r="H899" s="57"/>
      <c r="J899" s="57"/>
    </row>
    <row r="900">
      <c r="H900" s="57"/>
      <c r="J900" s="57"/>
    </row>
    <row r="901">
      <c r="H901" s="57"/>
      <c r="J901" s="57"/>
    </row>
    <row r="902">
      <c r="H902" s="57"/>
      <c r="J902" s="57"/>
    </row>
    <row r="903">
      <c r="H903" s="57"/>
      <c r="J903" s="57"/>
    </row>
    <row r="904">
      <c r="H904" s="57"/>
      <c r="J904" s="57"/>
    </row>
    <row r="905">
      <c r="H905" s="57"/>
      <c r="J905" s="57"/>
    </row>
    <row r="906">
      <c r="H906" s="57"/>
      <c r="J906" s="57"/>
    </row>
    <row r="907">
      <c r="H907" s="57"/>
      <c r="J907" s="57"/>
    </row>
    <row r="908">
      <c r="H908" s="57"/>
      <c r="J908" s="57"/>
    </row>
    <row r="909">
      <c r="H909" s="57"/>
      <c r="J909" s="57"/>
    </row>
    <row r="910">
      <c r="H910" s="57"/>
      <c r="J910" s="57"/>
    </row>
    <row r="911">
      <c r="H911" s="57"/>
      <c r="J911" s="57"/>
    </row>
    <row r="912">
      <c r="H912" s="57"/>
      <c r="J912" s="57"/>
    </row>
    <row r="913">
      <c r="H913" s="57"/>
      <c r="J913" s="57"/>
    </row>
    <row r="914">
      <c r="H914" s="57"/>
      <c r="J914" s="57"/>
    </row>
    <row r="915">
      <c r="H915" s="57"/>
      <c r="J915" s="57"/>
    </row>
    <row r="916">
      <c r="H916" s="57"/>
      <c r="J916" s="57"/>
    </row>
    <row r="917">
      <c r="H917" s="57"/>
      <c r="J917" s="57"/>
    </row>
    <row r="918">
      <c r="H918" s="57"/>
      <c r="J918" s="57"/>
    </row>
    <row r="919">
      <c r="H919" s="57"/>
      <c r="J919" s="57"/>
    </row>
    <row r="920">
      <c r="H920" s="57"/>
      <c r="J920" s="57"/>
    </row>
    <row r="921">
      <c r="H921" s="57"/>
      <c r="J921" s="57"/>
    </row>
    <row r="922">
      <c r="H922" s="57"/>
      <c r="J922" s="57"/>
    </row>
    <row r="923">
      <c r="H923" s="57"/>
      <c r="J923" s="57"/>
    </row>
    <row r="924">
      <c r="H924" s="57"/>
      <c r="J924" s="57"/>
    </row>
    <row r="925">
      <c r="H925" s="57"/>
      <c r="J925" s="57"/>
    </row>
    <row r="926">
      <c r="H926" s="57"/>
      <c r="J926" s="57"/>
    </row>
    <row r="927">
      <c r="H927" s="57"/>
      <c r="J927" s="57"/>
    </row>
    <row r="928">
      <c r="H928" s="57"/>
      <c r="J928" s="57"/>
    </row>
    <row r="929">
      <c r="H929" s="57"/>
      <c r="J929" s="57"/>
    </row>
    <row r="930">
      <c r="H930" s="57"/>
      <c r="J930" s="57"/>
    </row>
    <row r="931">
      <c r="H931" s="57"/>
      <c r="J931" s="57"/>
    </row>
    <row r="932">
      <c r="H932" s="57"/>
      <c r="J932" s="57"/>
    </row>
    <row r="933">
      <c r="H933" s="57"/>
      <c r="J933" s="57"/>
    </row>
    <row r="934">
      <c r="H934" s="57"/>
      <c r="J934" s="57"/>
    </row>
    <row r="935">
      <c r="H935" s="57"/>
      <c r="J935" s="57"/>
    </row>
    <row r="936">
      <c r="H936" s="57"/>
      <c r="J936" s="57"/>
    </row>
    <row r="937">
      <c r="H937" s="57"/>
      <c r="J937" s="57"/>
    </row>
    <row r="938">
      <c r="H938" s="57"/>
      <c r="J938" s="57"/>
    </row>
    <row r="939">
      <c r="H939" s="57"/>
      <c r="J939" s="57"/>
    </row>
    <row r="940">
      <c r="H940" s="57"/>
      <c r="J940" s="57"/>
    </row>
    <row r="941">
      <c r="H941" s="57"/>
      <c r="J941" s="57"/>
    </row>
    <row r="942">
      <c r="H942" s="57"/>
      <c r="J942" s="57"/>
    </row>
    <row r="943">
      <c r="H943" s="57"/>
      <c r="J943" s="57"/>
    </row>
    <row r="944">
      <c r="H944" s="57"/>
      <c r="J944" s="57"/>
    </row>
    <row r="945">
      <c r="H945" s="57"/>
      <c r="J945" s="57"/>
    </row>
    <row r="946">
      <c r="H946" s="57"/>
      <c r="J946" s="57"/>
    </row>
    <row r="947">
      <c r="H947" s="57"/>
      <c r="J947" s="57"/>
    </row>
    <row r="948">
      <c r="H948" s="57"/>
      <c r="J948" s="57"/>
    </row>
    <row r="949">
      <c r="H949" s="57"/>
      <c r="J949" s="57"/>
    </row>
    <row r="950">
      <c r="H950" s="57"/>
      <c r="J950" s="57"/>
    </row>
    <row r="951">
      <c r="H951" s="57"/>
      <c r="J951" s="57"/>
    </row>
    <row r="952">
      <c r="H952" s="57"/>
      <c r="J952" s="57"/>
    </row>
    <row r="953">
      <c r="H953" s="57"/>
      <c r="J953" s="57"/>
    </row>
    <row r="954">
      <c r="H954" s="57"/>
      <c r="J954" s="57"/>
    </row>
    <row r="955">
      <c r="H955" s="57"/>
      <c r="J955" s="57"/>
    </row>
    <row r="956">
      <c r="H956" s="57"/>
      <c r="J956" s="57"/>
    </row>
    <row r="957">
      <c r="H957" s="57"/>
      <c r="J957" s="57"/>
    </row>
    <row r="958">
      <c r="H958" s="57"/>
      <c r="J958" s="57"/>
    </row>
    <row r="959">
      <c r="H959" s="57"/>
      <c r="J959" s="57"/>
    </row>
    <row r="960">
      <c r="H960" s="57"/>
      <c r="J960" s="57"/>
    </row>
    <row r="961">
      <c r="H961" s="57"/>
      <c r="J961" s="57"/>
    </row>
    <row r="962">
      <c r="H962" s="57"/>
      <c r="J962" s="57"/>
    </row>
    <row r="963">
      <c r="H963" s="57"/>
      <c r="J963" s="57"/>
    </row>
    <row r="964">
      <c r="H964" s="57"/>
      <c r="J964" s="57"/>
    </row>
    <row r="965">
      <c r="H965" s="57"/>
      <c r="J965" s="57"/>
    </row>
    <row r="966">
      <c r="H966" s="57"/>
      <c r="J966" s="57"/>
    </row>
    <row r="967">
      <c r="H967" s="57"/>
      <c r="J967" s="57"/>
    </row>
    <row r="968">
      <c r="H968" s="57"/>
      <c r="J968" s="57"/>
    </row>
    <row r="969">
      <c r="H969" s="57"/>
      <c r="J969" s="57"/>
    </row>
    <row r="970">
      <c r="H970" s="57"/>
      <c r="J970" s="57"/>
    </row>
    <row r="971">
      <c r="H971" s="57"/>
      <c r="J971" s="57"/>
    </row>
    <row r="972">
      <c r="H972" s="57"/>
      <c r="J972" s="57"/>
    </row>
    <row r="973">
      <c r="H973" s="57"/>
      <c r="J973" s="57"/>
    </row>
    <row r="974">
      <c r="H974" s="57"/>
      <c r="J974" s="57"/>
    </row>
    <row r="975">
      <c r="H975" s="57"/>
      <c r="J975" s="57"/>
    </row>
    <row r="976">
      <c r="H976" s="57"/>
      <c r="J976" s="57"/>
    </row>
    <row r="977">
      <c r="H977" s="57"/>
      <c r="J977" s="57"/>
    </row>
    <row r="978">
      <c r="H978" s="57"/>
      <c r="J978" s="57"/>
    </row>
    <row r="979">
      <c r="H979" s="57"/>
      <c r="J979" s="57"/>
    </row>
    <row r="980">
      <c r="H980" s="57"/>
      <c r="J980" s="57"/>
    </row>
    <row r="981">
      <c r="H981" s="57"/>
      <c r="J981" s="57"/>
    </row>
    <row r="982">
      <c r="H982" s="57"/>
      <c r="J982" s="57"/>
    </row>
    <row r="983">
      <c r="H983" s="57"/>
      <c r="J983" s="57"/>
    </row>
    <row r="984">
      <c r="H984" s="57"/>
      <c r="J984" s="57"/>
    </row>
    <row r="985">
      <c r="H985" s="57"/>
      <c r="J985" s="57"/>
    </row>
    <row r="986">
      <c r="H986" s="57"/>
      <c r="J986" s="57"/>
    </row>
    <row r="987">
      <c r="H987" s="57"/>
      <c r="J987" s="57"/>
    </row>
    <row r="988">
      <c r="H988" s="57"/>
      <c r="J988" s="57"/>
    </row>
    <row r="989">
      <c r="H989" s="57"/>
      <c r="J989" s="57"/>
    </row>
    <row r="990">
      <c r="H990" s="57"/>
      <c r="J990" s="57"/>
    </row>
    <row r="991">
      <c r="H991" s="57"/>
      <c r="J991" s="57"/>
    </row>
    <row r="992">
      <c r="H992" s="57"/>
      <c r="J992" s="57"/>
    </row>
    <row r="993">
      <c r="H993" s="57"/>
      <c r="J993" s="57"/>
    </row>
    <row r="994">
      <c r="H994" s="57"/>
      <c r="J994" s="57"/>
    </row>
    <row r="995">
      <c r="H995" s="57"/>
      <c r="J995" s="57"/>
    </row>
    <row r="996">
      <c r="H996" s="57"/>
      <c r="J996" s="57"/>
    </row>
    <row r="997">
      <c r="H997" s="57"/>
      <c r="J997" s="57"/>
    </row>
    <row r="998">
      <c r="H998" s="57"/>
      <c r="J998" s="57"/>
    </row>
    <row r="999">
      <c r="H999" s="57"/>
      <c r="J999" s="57"/>
    </row>
    <row r="1000">
      <c r="H1000" s="57"/>
      <c r="J1000" s="57"/>
    </row>
    <row r="1001">
      <c r="H1001" s="57"/>
      <c r="J1001" s="57"/>
    </row>
    <row r="1002">
      <c r="H1002" s="57"/>
      <c r="J1002" s="57"/>
    </row>
    <row r="1003">
      <c r="H1003" s="57"/>
      <c r="J1003" s="57"/>
    </row>
    <row r="1004">
      <c r="H1004" s="57"/>
      <c r="J1004" s="57"/>
    </row>
  </sheetData>
  <hyperlinks>
    <hyperlink r:id="rId1" ref="A2"/>
    <hyperlink r:id="rId2" ref="B2"/>
    <hyperlink r:id="rId3" ref="C2"/>
    <hyperlink r:id="rId4" ref="G2"/>
    <hyperlink r:id="rId5" ref="Z2"/>
    <hyperlink r:id="rId6" ref="A4"/>
    <hyperlink r:id="rId7" ref="B4"/>
    <hyperlink r:id="rId8" ref="C4"/>
    <hyperlink r:id="rId9" ref="G4"/>
    <hyperlink r:id="rId10" ref="A5"/>
    <hyperlink r:id="rId11" ref="B5"/>
    <hyperlink r:id="rId12" ref="C5"/>
    <hyperlink r:id="rId13" ref="G5"/>
    <hyperlink r:id="rId14" ref="Z5"/>
    <hyperlink r:id="rId15" ref="A6"/>
    <hyperlink r:id="rId16" ref="B6"/>
    <hyperlink r:id="rId17" ref="C6"/>
    <hyperlink r:id="rId18" ref="G6"/>
    <hyperlink r:id="rId19" ref="W6"/>
    <hyperlink r:id="rId20" ref="A8"/>
    <hyperlink r:id="rId21" ref="B8"/>
    <hyperlink r:id="rId22" ref="C8"/>
    <hyperlink r:id="rId23" ref="G8"/>
    <hyperlink r:id="rId24" ref="A9"/>
    <hyperlink r:id="rId25" ref="B9"/>
    <hyperlink r:id="rId26" ref="C9"/>
    <hyperlink r:id="rId27" ref="G9"/>
    <hyperlink r:id="rId28" ref="A10"/>
    <hyperlink r:id="rId29" ref="B10"/>
    <hyperlink r:id="rId30" ref="C10"/>
    <hyperlink r:id="rId31" ref="G10"/>
    <hyperlink r:id="rId32" ref="A11"/>
    <hyperlink r:id="rId33" ref="C11"/>
    <hyperlink r:id="rId34" ref="G11"/>
    <hyperlink r:id="rId35" ref="Z11"/>
    <hyperlink r:id="rId36" ref="A12"/>
    <hyperlink r:id="rId37" ref="B12"/>
    <hyperlink r:id="rId38" ref="C12"/>
    <hyperlink r:id="rId39" ref="G12"/>
    <hyperlink r:id="rId40" ref="A13"/>
    <hyperlink r:id="rId41" ref="B13"/>
    <hyperlink r:id="rId42" ref="C13"/>
    <hyperlink r:id="rId43" ref="G13"/>
    <hyperlink r:id="rId44" ref="A15"/>
    <hyperlink r:id="rId45" ref="B15"/>
    <hyperlink r:id="rId46" ref="C15"/>
    <hyperlink r:id="rId47" ref="G15"/>
    <hyperlink r:id="rId48" ref="Z15"/>
    <hyperlink r:id="rId49" ref="A16"/>
    <hyperlink r:id="rId50" ref="B16"/>
    <hyperlink r:id="rId51" ref="C16"/>
    <hyperlink r:id="rId52" ref="G16"/>
    <hyperlink r:id="rId53" ref="A17"/>
    <hyperlink r:id="rId54" ref="B17"/>
    <hyperlink r:id="rId55" ref="C17"/>
    <hyperlink r:id="rId56" ref="G17"/>
    <hyperlink r:id="rId57" ref="Z17"/>
    <hyperlink r:id="rId58" ref="A20"/>
    <hyperlink r:id="rId59" ref="B20"/>
    <hyperlink r:id="rId60" ref="C20"/>
    <hyperlink r:id="rId61" ref="G20"/>
    <hyperlink r:id="rId62" ref="A21"/>
    <hyperlink r:id="rId63" ref="B21"/>
    <hyperlink r:id="rId64" ref="C21"/>
    <hyperlink r:id="rId65" ref="G21"/>
    <hyperlink r:id="rId66" ref="A22"/>
    <hyperlink r:id="rId67" ref="B22"/>
    <hyperlink r:id="rId68" ref="C22"/>
    <hyperlink r:id="rId69" ref="G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3" max="3" width="20.75"/>
    <col customWidth="1" min="4" max="4" width="23.0"/>
    <col customWidth="1" min="5" max="5" width="22.38"/>
    <col customWidth="1" min="6" max="6" width="15.75"/>
    <col customWidth="1" min="7" max="7" width="20.13"/>
    <col customWidth="1" min="8" max="8" width="16.13"/>
    <col customWidth="1" min="11" max="11" width="20.25"/>
    <col customWidth="1" min="13" max="13" width="16.88"/>
    <col customWidth="1" min="15" max="15" width="45.88"/>
    <col customWidth="1" min="16" max="16" width="20.63"/>
    <col customWidth="1" min="17" max="17" width="36.5"/>
  </cols>
  <sheetData>
    <row r="1">
      <c r="C1" s="57"/>
      <c r="D1" s="57"/>
      <c r="E1" s="57"/>
      <c r="F1" s="57"/>
      <c r="G1" s="57"/>
      <c r="L1" s="57"/>
      <c r="M1" s="57"/>
    </row>
    <row r="2">
      <c r="C2" s="57"/>
      <c r="D2" s="57"/>
      <c r="E2" s="57"/>
      <c r="F2" s="57"/>
      <c r="G2" s="57"/>
      <c r="L2" s="57"/>
      <c r="M2" s="57"/>
    </row>
    <row r="3">
      <c r="A3" s="1" t="s">
        <v>0</v>
      </c>
      <c r="B3" s="2" t="s">
        <v>1</v>
      </c>
      <c r="C3" s="2" t="s">
        <v>2</v>
      </c>
      <c r="D3" s="1" t="s">
        <v>3</v>
      </c>
      <c r="E3" s="2" t="s">
        <v>4</v>
      </c>
      <c r="F3" s="2" t="s">
        <v>5</v>
      </c>
      <c r="G3" s="2" t="s">
        <v>7</v>
      </c>
      <c r="H3" s="2" t="s">
        <v>12</v>
      </c>
      <c r="I3" s="2" t="s">
        <v>13</v>
      </c>
      <c r="J3" s="2" t="s">
        <v>8</v>
      </c>
      <c r="K3" s="2" t="s">
        <v>240</v>
      </c>
      <c r="L3" s="2" t="s">
        <v>10</v>
      </c>
      <c r="M3" s="2" t="s">
        <v>11</v>
      </c>
      <c r="N3" s="3" t="s">
        <v>14</v>
      </c>
      <c r="O3" s="2" t="s">
        <v>15</v>
      </c>
      <c r="P3" s="1" t="s">
        <v>16</v>
      </c>
      <c r="Q3" s="2" t="s">
        <v>17</v>
      </c>
      <c r="R3" s="3" t="s">
        <v>6</v>
      </c>
      <c r="S3" s="3" t="s">
        <v>18</v>
      </c>
      <c r="T3" s="3" t="s">
        <v>19</v>
      </c>
      <c r="U3" s="3" t="s">
        <v>20</v>
      </c>
      <c r="V3" s="3" t="s">
        <v>21</v>
      </c>
      <c r="W3" s="2" t="s">
        <v>22</v>
      </c>
      <c r="X3" s="1" t="s">
        <v>241</v>
      </c>
      <c r="Y3" s="1" t="s">
        <v>242</v>
      </c>
      <c r="Z3" s="1" t="s">
        <v>243</v>
      </c>
      <c r="AA3" s="2" t="s">
        <v>244</v>
      </c>
      <c r="AB3" s="2" t="s">
        <v>28</v>
      </c>
      <c r="AC3" s="2" t="s">
        <v>27</v>
      </c>
    </row>
    <row r="4" ht="124.5" customHeight="1">
      <c r="A4" s="11" t="s">
        <v>245</v>
      </c>
      <c r="B4" s="34" t="s">
        <v>246</v>
      </c>
      <c r="C4" s="67" t="s">
        <v>247</v>
      </c>
      <c r="D4" s="11" t="s">
        <v>248</v>
      </c>
      <c r="E4" s="11" t="s">
        <v>249</v>
      </c>
      <c r="F4" s="11" t="s">
        <v>42</v>
      </c>
      <c r="G4" s="11" t="s">
        <v>250</v>
      </c>
      <c r="H4" s="22">
        <v>149.000901</v>
      </c>
      <c r="I4" s="11">
        <v>69.68013</v>
      </c>
      <c r="J4" s="11" t="s">
        <v>251</v>
      </c>
      <c r="K4" s="17" t="s">
        <v>252</v>
      </c>
      <c r="L4" s="11" t="s">
        <v>75</v>
      </c>
      <c r="M4" s="11" t="s">
        <v>253</v>
      </c>
      <c r="N4" s="68">
        <v>6.0</v>
      </c>
      <c r="O4" s="68" t="s">
        <v>254</v>
      </c>
      <c r="P4" s="11" t="s">
        <v>64</v>
      </c>
      <c r="Q4" s="11" t="s">
        <v>132</v>
      </c>
      <c r="R4" s="12" t="s">
        <v>255</v>
      </c>
      <c r="S4" s="11" t="s">
        <v>42</v>
      </c>
      <c r="T4" s="11" t="s">
        <v>42</v>
      </c>
      <c r="U4" s="11" t="s">
        <v>42</v>
      </c>
      <c r="V4" s="11" t="s">
        <v>42</v>
      </c>
      <c r="W4" s="12" t="s">
        <v>256</v>
      </c>
      <c r="X4" s="11" t="s">
        <v>67</v>
      </c>
      <c r="Y4" s="13"/>
      <c r="Z4" s="11"/>
      <c r="AA4" s="11"/>
      <c r="AB4" s="11" t="s">
        <v>257</v>
      </c>
      <c r="AC4" s="34" t="s">
        <v>258</v>
      </c>
    </row>
    <row r="5">
      <c r="A5" s="11" t="s">
        <v>259</v>
      </c>
      <c r="B5" s="69" t="s">
        <v>260</v>
      </c>
      <c r="C5" s="70" t="s">
        <v>261</v>
      </c>
      <c r="D5" s="11" t="s">
        <v>262</v>
      </c>
      <c r="E5" s="11" t="s">
        <v>263</v>
      </c>
      <c r="F5" s="11" t="s">
        <v>42</v>
      </c>
      <c r="G5" s="11" t="s">
        <v>264</v>
      </c>
      <c r="H5" s="71">
        <v>352.59</v>
      </c>
      <c r="I5" s="11">
        <v>1.88</v>
      </c>
      <c r="J5" s="11" t="s">
        <v>75</v>
      </c>
      <c r="K5" s="11" t="s">
        <v>75</v>
      </c>
      <c r="L5" s="11" t="s">
        <v>75</v>
      </c>
      <c r="M5" s="11" t="s">
        <v>75</v>
      </c>
      <c r="N5" s="11">
        <v>3.0</v>
      </c>
      <c r="O5" s="68" t="s">
        <v>265</v>
      </c>
      <c r="P5" s="11" t="s">
        <v>64</v>
      </c>
      <c r="Q5" s="68" t="s">
        <v>266</v>
      </c>
      <c r="R5" s="12" t="s">
        <v>267</v>
      </c>
      <c r="S5" s="11" t="s">
        <v>42</v>
      </c>
      <c r="T5" s="11" t="s">
        <v>268</v>
      </c>
      <c r="U5" s="11" t="s">
        <v>42</v>
      </c>
      <c r="V5" s="11" t="s">
        <v>42</v>
      </c>
      <c r="W5" s="11" t="s">
        <v>75</v>
      </c>
      <c r="X5" s="11" t="s">
        <v>67</v>
      </c>
      <c r="Y5" s="13"/>
      <c r="Z5" s="13"/>
      <c r="AA5" s="13"/>
      <c r="AB5" s="13"/>
      <c r="AC5" s="13"/>
    </row>
    <row r="6">
      <c r="A6" s="11" t="s">
        <v>269</v>
      </c>
      <c r="B6" s="34" t="s">
        <v>270</v>
      </c>
      <c r="C6" s="70" t="s">
        <v>271</v>
      </c>
      <c r="D6" s="11" t="s">
        <v>272</v>
      </c>
      <c r="E6" s="11" t="s">
        <v>273</v>
      </c>
      <c r="F6" s="11" t="s">
        <v>75</v>
      </c>
      <c r="G6" s="11" t="s">
        <v>274</v>
      </c>
      <c r="H6" s="11">
        <v>5.271</v>
      </c>
      <c r="I6" s="11">
        <v>-36.521</v>
      </c>
      <c r="J6" s="11" t="s">
        <v>75</v>
      </c>
      <c r="K6" s="17" t="s">
        <v>275</v>
      </c>
      <c r="L6" s="11" t="s">
        <v>75</v>
      </c>
      <c r="M6" s="11" t="s">
        <v>42</v>
      </c>
      <c r="N6" s="68">
        <v>8.0</v>
      </c>
      <c r="O6" s="68" t="s">
        <v>276</v>
      </c>
      <c r="P6" s="11" t="s">
        <v>64</v>
      </c>
      <c r="Q6" s="11" t="s">
        <v>277</v>
      </c>
      <c r="R6" s="12" t="s">
        <v>278</v>
      </c>
      <c r="S6" s="11" t="s">
        <v>42</v>
      </c>
      <c r="T6" s="11" t="s">
        <v>43</v>
      </c>
      <c r="U6" s="11" t="s">
        <v>183</v>
      </c>
      <c r="V6" s="11" t="s">
        <v>42</v>
      </c>
      <c r="W6" s="11" t="s">
        <v>75</v>
      </c>
      <c r="X6" s="11" t="s">
        <v>46</v>
      </c>
      <c r="Y6" s="13"/>
      <c r="Z6" s="12" t="s">
        <v>279</v>
      </c>
      <c r="AA6" s="13"/>
      <c r="AB6" s="13"/>
      <c r="AC6" s="11" t="s">
        <v>280</v>
      </c>
    </row>
    <row r="7">
      <c r="A7" s="11" t="s">
        <v>281</v>
      </c>
      <c r="B7" s="70" t="s">
        <v>282</v>
      </c>
      <c r="C7" s="69" t="s">
        <v>283</v>
      </c>
      <c r="D7" s="68" t="s">
        <v>284</v>
      </c>
      <c r="E7" s="11" t="s">
        <v>285</v>
      </c>
      <c r="F7" s="11" t="s">
        <v>286</v>
      </c>
      <c r="G7" s="11" t="s">
        <v>287</v>
      </c>
      <c r="H7" s="18">
        <v>237.54399</v>
      </c>
      <c r="I7" s="18">
        <v>-2.31789</v>
      </c>
      <c r="J7" s="11" t="s">
        <v>75</v>
      </c>
      <c r="K7" s="11" t="s">
        <v>288</v>
      </c>
      <c r="L7" s="11" t="s">
        <v>289</v>
      </c>
      <c r="M7" s="11">
        <v>1.494</v>
      </c>
      <c r="N7" s="11">
        <v>12.0</v>
      </c>
      <c r="O7" s="11" t="s">
        <v>290</v>
      </c>
      <c r="P7" s="11" t="s">
        <v>291</v>
      </c>
      <c r="Q7" s="11" t="s">
        <v>292</v>
      </c>
      <c r="R7" s="12" t="s">
        <v>293</v>
      </c>
      <c r="S7" s="11" t="s">
        <v>42</v>
      </c>
      <c r="T7" s="11" t="s">
        <v>43</v>
      </c>
      <c r="U7" s="11" t="s">
        <v>183</v>
      </c>
      <c r="V7" s="11" t="s">
        <v>42</v>
      </c>
      <c r="W7" s="11" t="s">
        <v>75</v>
      </c>
      <c r="X7" s="11" t="s">
        <v>67</v>
      </c>
      <c r="Y7" s="13"/>
      <c r="Z7" s="11"/>
      <c r="AA7" s="11"/>
      <c r="AB7" s="11" t="s">
        <v>294</v>
      </c>
      <c r="AC7" s="11"/>
    </row>
    <row r="8">
      <c r="A8" s="11" t="s">
        <v>295</v>
      </c>
      <c r="B8" s="69" t="s">
        <v>296</v>
      </c>
      <c r="C8" s="69" t="s">
        <v>297</v>
      </c>
      <c r="D8" s="11" t="s">
        <v>298</v>
      </c>
      <c r="E8" s="11" t="s">
        <v>32</v>
      </c>
      <c r="F8" s="11" t="s">
        <v>75</v>
      </c>
      <c r="G8" s="11" t="s">
        <v>299</v>
      </c>
      <c r="H8" s="11">
        <v>213.176</v>
      </c>
      <c r="I8" s="11">
        <v>63.735</v>
      </c>
      <c r="J8" s="11" t="s">
        <v>75</v>
      </c>
      <c r="K8" s="11" t="s">
        <v>300</v>
      </c>
      <c r="L8" s="11" t="s">
        <v>75</v>
      </c>
      <c r="M8" s="11" t="s">
        <v>75</v>
      </c>
      <c r="N8" s="68">
        <v>1.0</v>
      </c>
      <c r="O8" s="68" t="s">
        <v>301</v>
      </c>
      <c r="P8" s="11" t="s">
        <v>64</v>
      </c>
      <c r="Q8" s="68" t="s">
        <v>302</v>
      </c>
      <c r="R8" s="12" t="s">
        <v>303</v>
      </c>
      <c r="S8" s="11" t="s">
        <v>42</v>
      </c>
      <c r="T8" s="11" t="s">
        <v>43</v>
      </c>
      <c r="U8" s="11" t="s">
        <v>42</v>
      </c>
      <c r="V8" s="11" t="s">
        <v>42</v>
      </c>
      <c r="W8" s="11" t="s">
        <v>75</v>
      </c>
      <c r="X8" s="11" t="s">
        <v>67</v>
      </c>
      <c r="Y8" s="13"/>
      <c r="Z8" s="13"/>
      <c r="AA8" s="13"/>
      <c r="AB8" s="13"/>
      <c r="AC8" s="13"/>
    </row>
    <row r="9">
      <c r="A9" s="11" t="s">
        <v>304</v>
      </c>
      <c r="B9" s="70" t="s">
        <v>305</v>
      </c>
      <c r="C9" s="70" t="s">
        <v>306</v>
      </c>
      <c r="D9" s="11" t="s">
        <v>307</v>
      </c>
      <c r="E9" s="11" t="s">
        <v>136</v>
      </c>
      <c r="F9" s="11" t="s">
        <v>75</v>
      </c>
      <c r="G9" s="11" t="s">
        <v>75</v>
      </c>
      <c r="H9" s="11">
        <v>63.45995</v>
      </c>
      <c r="I9" s="11">
        <v>16.71561</v>
      </c>
      <c r="J9" s="11" t="s">
        <v>75</v>
      </c>
      <c r="K9" s="11" t="s">
        <v>75</v>
      </c>
      <c r="L9" s="11" t="s">
        <v>75</v>
      </c>
      <c r="M9" s="11" t="s">
        <v>75</v>
      </c>
      <c r="N9" s="68">
        <v>5.0</v>
      </c>
      <c r="O9" s="11" t="s">
        <v>308</v>
      </c>
      <c r="P9" s="11" t="s">
        <v>64</v>
      </c>
      <c r="Q9" s="11" t="s">
        <v>309</v>
      </c>
      <c r="R9" s="12" t="s">
        <v>310</v>
      </c>
      <c r="S9" s="11" t="s">
        <v>42</v>
      </c>
      <c r="T9" s="11" t="s">
        <v>43</v>
      </c>
      <c r="U9" s="11" t="s">
        <v>42</v>
      </c>
      <c r="V9" s="11" t="s">
        <v>42</v>
      </c>
      <c r="W9" s="11" t="s">
        <v>75</v>
      </c>
      <c r="X9" s="11" t="s">
        <v>67</v>
      </c>
      <c r="Y9" s="13"/>
      <c r="Z9" s="13"/>
      <c r="AA9" s="13"/>
      <c r="AB9" s="11" t="s">
        <v>311</v>
      </c>
      <c r="AC9" s="13"/>
    </row>
    <row r="10">
      <c r="A10" s="11" t="s">
        <v>312</v>
      </c>
      <c r="B10" s="69" t="s">
        <v>313</v>
      </c>
      <c r="C10" s="69" t="s">
        <v>314</v>
      </c>
      <c r="D10" s="11" t="s">
        <v>315</v>
      </c>
      <c r="E10" s="11" t="s">
        <v>316</v>
      </c>
      <c r="F10" s="11" t="s">
        <v>317</v>
      </c>
      <c r="G10" s="11" t="s">
        <v>318</v>
      </c>
      <c r="H10" s="11">
        <v>345.8021</v>
      </c>
      <c r="I10" s="11">
        <v>35.5227</v>
      </c>
      <c r="J10" s="11" t="s">
        <v>75</v>
      </c>
      <c r="K10" s="11" t="s">
        <v>319</v>
      </c>
      <c r="L10" s="11" t="s">
        <v>320</v>
      </c>
      <c r="M10" s="11" t="s">
        <v>75</v>
      </c>
      <c r="N10" s="11">
        <v>6.0</v>
      </c>
      <c r="O10" s="68" t="s">
        <v>321</v>
      </c>
      <c r="P10" s="11" t="s">
        <v>322</v>
      </c>
      <c r="Q10" s="68" t="s">
        <v>323</v>
      </c>
      <c r="R10" s="12" t="s">
        <v>324</v>
      </c>
      <c r="S10" s="11" t="s">
        <v>42</v>
      </c>
      <c r="T10" s="11" t="s">
        <v>43</v>
      </c>
      <c r="U10" s="11" t="s">
        <v>42</v>
      </c>
      <c r="V10" s="11" t="s">
        <v>42</v>
      </c>
      <c r="W10" s="13"/>
      <c r="X10" s="11" t="s">
        <v>325</v>
      </c>
      <c r="Y10" s="11" t="s">
        <v>326</v>
      </c>
      <c r="Z10" s="12" t="s">
        <v>327</v>
      </c>
      <c r="AA10" s="11" t="s">
        <v>328</v>
      </c>
      <c r="AB10" s="13"/>
      <c r="AC10" s="11" t="s">
        <v>329</v>
      </c>
    </row>
    <row r="11">
      <c r="A11" s="11" t="s">
        <v>330</v>
      </c>
      <c r="B11" s="69" t="s">
        <v>331</v>
      </c>
      <c r="C11" s="70" t="s">
        <v>332</v>
      </c>
      <c r="D11" s="11" t="s">
        <v>333</v>
      </c>
      <c r="E11" s="11" t="s">
        <v>334</v>
      </c>
      <c r="F11" s="72" t="s">
        <v>335</v>
      </c>
      <c r="G11" s="11" t="s">
        <v>336</v>
      </c>
      <c r="H11" s="11">
        <v>124.625</v>
      </c>
      <c r="I11" s="11">
        <v>33.999</v>
      </c>
      <c r="J11" s="11" t="s">
        <v>75</v>
      </c>
      <c r="K11" s="11" t="s">
        <v>337</v>
      </c>
      <c r="L11" s="11" t="s">
        <v>338</v>
      </c>
      <c r="M11" s="73">
        <v>1.234</v>
      </c>
      <c r="N11" s="68">
        <v>3.0</v>
      </c>
      <c r="O11" s="68" t="s">
        <v>339</v>
      </c>
      <c r="P11" s="11" t="s">
        <v>340</v>
      </c>
      <c r="Q11" s="68" t="s">
        <v>341</v>
      </c>
      <c r="R11" s="12" t="s">
        <v>342</v>
      </c>
      <c r="S11" s="11" t="s">
        <v>42</v>
      </c>
      <c r="T11" s="11" t="s">
        <v>43</v>
      </c>
      <c r="U11" s="11" t="s">
        <v>343</v>
      </c>
      <c r="V11" s="11" t="s">
        <v>144</v>
      </c>
      <c r="W11" s="13"/>
      <c r="X11" s="11" t="s">
        <v>183</v>
      </c>
      <c r="Y11" s="11" t="s">
        <v>344</v>
      </c>
      <c r="Z11" s="34" t="s">
        <v>345</v>
      </c>
      <c r="AA11" s="11" t="s">
        <v>346</v>
      </c>
      <c r="AB11" s="13"/>
      <c r="AC11" s="11" t="s">
        <v>347</v>
      </c>
    </row>
    <row r="12" ht="72.75" customHeight="1">
      <c r="A12" s="11" t="s">
        <v>348</v>
      </c>
      <c r="B12" s="70" t="s">
        <v>349</v>
      </c>
      <c r="C12" s="69" t="s">
        <v>350</v>
      </c>
      <c r="D12" s="11" t="s">
        <v>351</v>
      </c>
      <c r="E12" s="11" t="s">
        <v>352</v>
      </c>
      <c r="F12" s="11" t="s">
        <v>75</v>
      </c>
      <c r="G12" s="11" t="s">
        <v>75</v>
      </c>
      <c r="H12" s="11">
        <v>351.3</v>
      </c>
      <c r="I12" s="11">
        <v>21.33</v>
      </c>
      <c r="J12" s="11" t="s">
        <v>75</v>
      </c>
      <c r="K12" s="11" t="s">
        <v>75</v>
      </c>
      <c r="L12" s="11" t="s">
        <v>75</v>
      </c>
      <c r="M12" s="11" t="s">
        <v>75</v>
      </c>
      <c r="N12" s="11">
        <v>3.0</v>
      </c>
      <c r="O12" s="68" t="s">
        <v>353</v>
      </c>
      <c r="P12" s="68" t="s">
        <v>64</v>
      </c>
      <c r="Q12" s="68" t="s">
        <v>132</v>
      </c>
      <c r="R12" s="12" t="s">
        <v>354</v>
      </c>
      <c r="S12" s="11" t="s">
        <v>42</v>
      </c>
      <c r="T12" s="11" t="s">
        <v>43</v>
      </c>
      <c r="U12" s="11" t="s">
        <v>42</v>
      </c>
      <c r="V12" s="11" t="s">
        <v>42</v>
      </c>
      <c r="W12" s="13"/>
      <c r="X12" s="11" t="s">
        <v>183</v>
      </c>
      <c r="Y12" s="11" t="s">
        <v>355</v>
      </c>
      <c r="Z12" s="12" t="s">
        <v>356</v>
      </c>
      <c r="AA12" s="11" t="s">
        <v>357</v>
      </c>
      <c r="AB12" s="13"/>
      <c r="AC12" s="11" t="s">
        <v>358</v>
      </c>
    </row>
    <row r="13">
      <c r="A13" s="74" t="s">
        <v>359</v>
      </c>
      <c r="B13" s="75" t="s">
        <v>360</v>
      </c>
      <c r="C13" s="75" t="s">
        <v>361</v>
      </c>
      <c r="D13" s="11" t="s">
        <v>362</v>
      </c>
      <c r="E13" s="76" t="s">
        <v>136</v>
      </c>
      <c r="F13" s="17" t="s">
        <v>363</v>
      </c>
      <c r="G13" s="11" t="s">
        <v>364</v>
      </c>
      <c r="H13" s="11">
        <v>20.424</v>
      </c>
      <c r="I13" s="11">
        <v>-43.534</v>
      </c>
      <c r="J13" s="11" t="s">
        <v>365</v>
      </c>
      <c r="K13" s="11" t="s">
        <v>366</v>
      </c>
      <c r="L13" s="11" t="s">
        <v>367</v>
      </c>
      <c r="M13" s="73" t="s">
        <v>368</v>
      </c>
      <c r="N13" s="11">
        <v>4.0</v>
      </c>
      <c r="O13" s="68" t="s">
        <v>369</v>
      </c>
      <c r="P13" s="68" t="s">
        <v>370</v>
      </c>
      <c r="Q13" s="68" t="s">
        <v>371</v>
      </c>
      <c r="R13" s="12" t="s">
        <v>372</v>
      </c>
      <c r="S13" s="11" t="s">
        <v>42</v>
      </c>
      <c r="T13" s="11" t="s">
        <v>373</v>
      </c>
      <c r="U13" s="11" t="s">
        <v>183</v>
      </c>
      <c r="V13" s="11" t="s">
        <v>374</v>
      </c>
      <c r="W13" s="11" t="s">
        <v>75</v>
      </c>
      <c r="X13" s="11" t="s">
        <v>67</v>
      </c>
      <c r="Y13" s="13"/>
      <c r="Z13" s="13"/>
      <c r="AA13" s="13"/>
      <c r="AB13" s="13"/>
      <c r="AC13" s="77" t="s">
        <v>375</v>
      </c>
    </row>
    <row r="14">
      <c r="A14" s="11" t="s">
        <v>376</v>
      </c>
      <c r="B14" s="69" t="s">
        <v>377</v>
      </c>
      <c r="C14" s="69" t="s">
        <v>378</v>
      </c>
      <c r="D14" s="11" t="s">
        <v>379</v>
      </c>
      <c r="E14" s="11" t="s">
        <v>136</v>
      </c>
      <c r="F14" s="11" t="s">
        <v>75</v>
      </c>
      <c r="G14" s="11" t="s">
        <v>75</v>
      </c>
      <c r="H14" s="11">
        <v>62.41</v>
      </c>
      <c r="I14" s="11">
        <v>-7.896</v>
      </c>
      <c r="J14" s="11" t="s">
        <v>75</v>
      </c>
      <c r="K14" s="11" t="s">
        <v>75</v>
      </c>
      <c r="L14" s="11" t="s">
        <v>75</v>
      </c>
      <c r="M14" s="11" t="s">
        <v>75</v>
      </c>
      <c r="N14" s="11">
        <v>1.0</v>
      </c>
      <c r="O14" s="11" t="s">
        <v>380</v>
      </c>
      <c r="P14" s="11" t="s">
        <v>381</v>
      </c>
      <c r="Q14" s="11" t="s">
        <v>132</v>
      </c>
      <c r="R14" s="12" t="s">
        <v>382</v>
      </c>
      <c r="S14" s="11" t="s">
        <v>42</v>
      </c>
      <c r="T14" s="11" t="s">
        <v>383</v>
      </c>
      <c r="U14" s="11" t="s">
        <v>42</v>
      </c>
      <c r="V14" s="11" t="s">
        <v>42</v>
      </c>
      <c r="W14" s="13"/>
      <c r="X14" s="11" t="s">
        <v>67</v>
      </c>
      <c r="Y14" s="13"/>
      <c r="Z14" s="13"/>
      <c r="AA14" s="13"/>
      <c r="AB14" s="13"/>
      <c r="AC14" s="13"/>
    </row>
    <row r="15">
      <c r="A15" s="11" t="s">
        <v>384</v>
      </c>
      <c r="B15" s="12" t="s">
        <v>385</v>
      </c>
      <c r="C15" s="34" t="s">
        <v>386</v>
      </c>
      <c r="D15" s="11" t="s">
        <v>387</v>
      </c>
      <c r="E15" s="11" t="s">
        <v>32</v>
      </c>
      <c r="F15" s="11" t="s">
        <v>75</v>
      </c>
      <c r="G15" s="11" t="s">
        <v>388</v>
      </c>
      <c r="H15" s="11">
        <v>304.782</v>
      </c>
      <c r="I15" s="11">
        <v>-40.806</v>
      </c>
      <c r="J15" s="13"/>
      <c r="K15" s="11" t="s">
        <v>389</v>
      </c>
      <c r="L15" s="13"/>
      <c r="M15" s="13"/>
      <c r="N15" s="11">
        <v>9.0</v>
      </c>
      <c r="O15" s="11" t="s">
        <v>390</v>
      </c>
      <c r="P15" s="11" t="s">
        <v>64</v>
      </c>
      <c r="Q15" s="11" t="s">
        <v>132</v>
      </c>
      <c r="R15" s="12" t="s">
        <v>391</v>
      </c>
      <c r="S15" s="11" t="s">
        <v>42</v>
      </c>
      <c r="T15" s="11" t="s">
        <v>43</v>
      </c>
      <c r="U15" s="11" t="s">
        <v>42</v>
      </c>
      <c r="V15" s="11" t="s">
        <v>42</v>
      </c>
      <c r="W15" s="11" t="s">
        <v>75</v>
      </c>
      <c r="X15" s="11" t="s">
        <v>67</v>
      </c>
      <c r="Y15" s="13"/>
      <c r="Z15" s="13"/>
      <c r="AA15" s="13"/>
      <c r="AB15" s="13"/>
      <c r="AC15" s="13"/>
    </row>
    <row r="16">
      <c r="A16" s="11" t="s">
        <v>392</v>
      </c>
      <c r="B16" s="12" t="s">
        <v>393</v>
      </c>
      <c r="C16" s="12" t="s">
        <v>394</v>
      </c>
      <c r="D16" s="11" t="s">
        <v>395</v>
      </c>
      <c r="E16" s="11" t="s">
        <v>396</v>
      </c>
      <c r="F16" s="11" t="s">
        <v>75</v>
      </c>
      <c r="G16" s="11" t="s">
        <v>75</v>
      </c>
      <c r="H16" s="11">
        <v>325.00866</v>
      </c>
      <c r="I16" s="11">
        <v>-35.65944</v>
      </c>
      <c r="J16" s="11" t="s">
        <v>75</v>
      </c>
      <c r="K16" s="11" t="s">
        <v>75</v>
      </c>
      <c r="L16" s="11" t="s">
        <v>75</v>
      </c>
      <c r="M16" s="11" t="s">
        <v>75</v>
      </c>
      <c r="N16" s="11">
        <v>1.0</v>
      </c>
      <c r="O16" s="11" t="s">
        <v>397</v>
      </c>
      <c r="P16" s="11" t="s">
        <v>381</v>
      </c>
      <c r="Q16" s="11" t="s">
        <v>132</v>
      </c>
      <c r="R16" s="12" t="s">
        <v>398</v>
      </c>
      <c r="S16" s="11" t="s">
        <v>42</v>
      </c>
      <c r="T16" s="11" t="s">
        <v>43</v>
      </c>
      <c r="U16" s="11" t="s">
        <v>42</v>
      </c>
      <c r="V16" s="11" t="s">
        <v>42</v>
      </c>
      <c r="W16" s="13"/>
      <c r="X16" s="11" t="s">
        <v>67</v>
      </c>
      <c r="Y16" s="13"/>
      <c r="Z16" s="13"/>
      <c r="AA16" s="13"/>
      <c r="AB16" s="13"/>
      <c r="AC16" s="13"/>
    </row>
    <row r="17">
      <c r="A17" s="11" t="s">
        <v>399</v>
      </c>
      <c r="B17" s="12" t="s">
        <v>400</v>
      </c>
      <c r="C17" s="12" t="s">
        <v>401</v>
      </c>
      <c r="D17" s="11" t="s">
        <v>402</v>
      </c>
      <c r="E17" s="17" t="s">
        <v>403</v>
      </c>
      <c r="F17" s="11" t="s">
        <v>404</v>
      </c>
      <c r="G17" s="17" t="s">
        <v>405</v>
      </c>
      <c r="H17" s="11">
        <v>67.9693</v>
      </c>
      <c r="I17" s="11">
        <v>42.997</v>
      </c>
      <c r="J17" s="11" t="s">
        <v>75</v>
      </c>
      <c r="K17" s="11" t="s">
        <v>406</v>
      </c>
      <c r="L17" s="11" t="s">
        <v>407</v>
      </c>
      <c r="M17" s="13"/>
      <c r="N17" s="11" t="s">
        <v>408</v>
      </c>
      <c r="O17" s="11" t="s">
        <v>409</v>
      </c>
      <c r="P17" s="11" t="s">
        <v>410</v>
      </c>
      <c r="Q17" s="11" t="s">
        <v>132</v>
      </c>
      <c r="R17" s="12" t="s">
        <v>411</v>
      </c>
      <c r="S17" s="11" t="s">
        <v>42</v>
      </c>
      <c r="T17" s="11" t="s">
        <v>412</v>
      </c>
      <c r="U17" s="11" t="s">
        <v>42</v>
      </c>
      <c r="V17" s="11" t="s">
        <v>42</v>
      </c>
      <c r="W17" s="11" t="s">
        <v>75</v>
      </c>
      <c r="X17" s="13"/>
      <c r="Y17" s="13"/>
      <c r="Z17" s="12" t="s">
        <v>413</v>
      </c>
      <c r="AA17" s="13"/>
      <c r="AB17" s="13"/>
      <c r="AC17" s="11" t="s">
        <v>414</v>
      </c>
    </row>
    <row r="18">
      <c r="A18" s="11" t="s">
        <v>415</v>
      </c>
      <c r="B18" s="12" t="s">
        <v>416</v>
      </c>
      <c r="C18" s="34" t="s">
        <v>417</v>
      </c>
      <c r="D18" s="11">
        <v>60608.06724537</v>
      </c>
      <c r="E18" s="11" t="s">
        <v>418</v>
      </c>
      <c r="F18" s="72" t="s">
        <v>419</v>
      </c>
      <c r="G18" s="11" t="s">
        <v>420</v>
      </c>
      <c r="H18" s="11">
        <v>333.65769</v>
      </c>
      <c r="I18" s="11">
        <v>83.57588</v>
      </c>
      <c r="J18" s="11" t="s">
        <v>75</v>
      </c>
      <c r="K18" s="11" t="s">
        <v>421</v>
      </c>
      <c r="L18" s="11" t="s">
        <v>422</v>
      </c>
      <c r="M18" s="76">
        <v>4.2</v>
      </c>
      <c r="N18" s="11" t="s">
        <v>423</v>
      </c>
      <c r="O18" s="11" t="s">
        <v>141</v>
      </c>
      <c r="P18" s="11" t="s">
        <v>40</v>
      </c>
      <c r="Q18" s="11" t="s">
        <v>424</v>
      </c>
      <c r="R18" s="12" t="s">
        <v>425</v>
      </c>
      <c r="S18" s="11" t="s">
        <v>42</v>
      </c>
      <c r="T18" s="11" t="s">
        <v>66</v>
      </c>
      <c r="U18" s="11" t="s">
        <v>183</v>
      </c>
      <c r="V18" s="11" t="s">
        <v>144</v>
      </c>
      <c r="W18" s="11" t="s">
        <v>426</v>
      </c>
      <c r="X18" s="11" t="s">
        <v>42</v>
      </c>
      <c r="Y18" s="13"/>
      <c r="Z18" s="13"/>
      <c r="AA18" s="13"/>
      <c r="AB18" s="13"/>
      <c r="AC18" s="13"/>
    </row>
    <row r="19">
      <c r="A19" s="11" t="s">
        <v>427</v>
      </c>
      <c r="B19" s="12" t="s">
        <v>428</v>
      </c>
      <c r="C19" s="12" t="s">
        <v>429</v>
      </c>
      <c r="D19" s="11">
        <v>60609.9462037</v>
      </c>
      <c r="E19" s="11" t="s">
        <v>430</v>
      </c>
      <c r="F19" s="11" t="s">
        <v>431</v>
      </c>
      <c r="G19" s="78" t="s">
        <v>432</v>
      </c>
      <c r="H19" s="11">
        <v>293.425</v>
      </c>
      <c r="I19" s="11">
        <v>57.996</v>
      </c>
      <c r="J19" s="13"/>
      <c r="K19" s="11" t="s">
        <v>433</v>
      </c>
      <c r="L19" s="11" t="s">
        <v>434</v>
      </c>
      <c r="M19" s="73" t="s">
        <v>435</v>
      </c>
      <c r="N19" s="11">
        <v>6.0</v>
      </c>
      <c r="O19" s="11" t="s">
        <v>436</v>
      </c>
      <c r="P19" s="11" t="s">
        <v>40</v>
      </c>
      <c r="Q19" s="11" t="s">
        <v>437</v>
      </c>
      <c r="R19" s="34" t="s">
        <v>438</v>
      </c>
      <c r="S19" s="11" t="s">
        <v>42</v>
      </c>
      <c r="T19" s="11" t="s">
        <v>66</v>
      </c>
      <c r="U19" s="11" t="s">
        <v>42</v>
      </c>
      <c r="V19" s="11" t="s">
        <v>144</v>
      </c>
      <c r="W19" s="11" t="s">
        <v>426</v>
      </c>
      <c r="X19" s="11" t="s">
        <v>439</v>
      </c>
      <c r="Y19" s="13"/>
      <c r="Z19" s="12" t="s">
        <v>440</v>
      </c>
      <c r="AA19" s="13"/>
      <c r="AB19" s="13"/>
      <c r="AC19" s="13"/>
    </row>
    <row r="20">
      <c r="A20" s="11" t="s">
        <v>441</v>
      </c>
      <c r="B20" s="12" t="s">
        <v>442</v>
      </c>
      <c r="C20" s="12" t="s">
        <v>443</v>
      </c>
      <c r="D20" s="11" t="s">
        <v>444</v>
      </c>
      <c r="E20" s="11" t="s">
        <v>445</v>
      </c>
      <c r="F20" s="11" t="s">
        <v>446</v>
      </c>
      <c r="G20" s="11" t="s">
        <v>447</v>
      </c>
      <c r="H20" s="11">
        <v>325.3343</v>
      </c>
      <c r="I20" s="11">
        <v>5.0814</v>
      </c>
      <c r="J20" s="13"/>
      <c r="K20" s="11" t="s">
        <v>448</v>
      </c>
      <c r="L20" s="11" t="s">
        <v>449</v>
      </c>
      <c r="M20" s="76" t="s">
        <v>450</v>
      </c>
      <c r="N20" s="11">
        <v>3.0</v>
      </c>
      <c r="O20" s="11" t="s">
        <v>451</v>
      </c>
      <c r="P20" s="11" t="s">
        <v>64</v>
      </c>
      <c r="Q20" s="11" t="s">
        <v>132</v>
      </c>
      <c r="R20" s="12" t="s">
        <v>452</v>
      </c>
      <c r="S20" s="11" t="s">
        <v>42</v>
      </c>
      <c r="T20" s="11" t="s">
        <v>43</v>
      </c>
      <c r="U20" s="11" t="s">
        <v>42</v>
      </c>
      <c r="V20" s="11" t="s">
        <v>42</v>
      </c>
      <c r="W20" s="11" t="s">
        <v>75</v>
      </c>
      <c r="X20" s="11" t="s">
        <v>439</v>
      </c>
      <c r="Y20" s="13"/>
      <c r="Z20" s="13"/>
      <c r="AA20" s="13"/>
      <c r="AB20" s="13"/>
      <c r="AC20" s="11" t="s">
        <v>453</v>
      </c>
    </row>
    <row r="21">
      <c r="A21" s="11" t="s">
        <v>454</v>
      </c>
      <c r="B21" s="13"/>
      <c r="C21" s="13"/>
      <c r="D21" s="13"/>
      <c r="E21" s="13"/>
      <c r="F21" s="13"/>
      <c r="G21" s="13"/>
      <c r="H21" s="11">
        <v>343.216</v>
      </c>
      <c r="I21" s="11">
        <v>80.438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1" t="s">
        <v>455</v>
      </c>
      <c r="X21" s="11" t="s">
        <v>67</v>
      </c>
      <c r="Y21" s="13"/>
      <c r="Z21" s="13"/>
      <c r="AA21" s="13"/>
      <c r="AB21" s="13"/>
      <c r="AC21" s="13"/>
    </row>
    <row r="22">
      <c r="A22" s="11" t="s">
        <v>456</v>
      </c>
      <c r="B22" s="12" t="s">
        <v>457</v>
      </c>
      <c r="C22" s="12" t="s">
        <v>457</v>
      </c>
      <c r="D22" s="11" t="s">
        <v>458</v>
      </c>
      <c r="E22" s="11" t="s">
        <v>316</v>
      </c>
      <c r="F22" s="11" t="s">
        <v>459</v>
      </c>
      <c r="G22" s="11" t="s">
        <v>460</v>
      </c>
      <c r="H22" s="11">
        <v>327.911</v>
      </c>
      <c r="I22" s="11">
        <v>-56.652</v>
      </c>
      <c r="J22" s="13"/>
      <c r="K22" s="11" t="s">
        <v>461</v>
      </c>
      <c r="L22" s="11" t="s">
        <v>462</v>
      </c>
      <c r="M22" s="11" t="s">
        <v>75</v>
      </c>
      <c r="N22" s="11">
        <v>4.0</v>
      </c>
      <c r="O22" s="11" t="s">
        <v>463</v>
      </c>
      <c r="P22" s="11" t="s">
        <v>40</v>
      </c>
      <c r="Q22" s="11" t="s">
        <v>79</v>
      </c>
      <c r="R22" s="12" t="s">
        <v>464</v>
      </c>
      <c r="S22" s="11" t="s">
        <v>42</v>
      </c>
      <c r="T22" s="11" t="s">
        <v>43</v>
      </c>
      <c r="U22" s="11" t="s">
        <v>183</v>
      </c>
      <c r="V22" s="11" t="s">
        <v>42</v>
      </c>
      <c r="W22" s="11" t="s">
        <v>75</v>
      </c>
      <c r="X22" s="11" t="s">
        <v>183</v>
      </c>
      <c r="Y22" s="11" t="s">
        <v>465</v>
      </c>
      <c r="Z22" s="12" t="s">
        <v>466</v>
      </c>
      <c r="AA22" s="13"/>
      <c r="AB22" s="13"/>
      <c r="AC22" s="34" t="s">
        <v>467</v>
      </c>
    </row>
    <row r="23">
      <c r="A23" s="11" t="s">
        <v>468</v>
      </c>
      <c r="B23" s="12" t="s">
        <v>469</v>
      </c>
      <c r="C23" s="12" t="s">
        <v>470</v>
      </c>
      <c r="D23" s="18" t="s">
        <v>471</v>
      </c>
      <c r="E23" s="11" t="s">
        <v>472</v>
      </c>
      <c r="F23" s="72" t="s">
        <v>473</v>
      </c>
      <c r="G23" s="11" t="s">
        <v>474</v>
      </c>
      <c r="H23" s="11">
        <v>273.724</v>
      </c>
      <c r="I23" s="11">
        <v>33.492</v>
      </c>
      <c r="J23" s="13"/>
      <c r="K23" s="11" t="s">
        <v>475</v>
      </c>
      <c r="L23" s="11" t="s">
        <v>476</v>
      </c>
      <c r="M23" s="13"/>
      <c r="N23" s="11">
        <v>5.0</v>
      </c>
      <c r="O23" s="11" t="s">
        <v>477</v>
      </c>
      <c r="P23" s="11" t="s">
        <v>40</v>
      </c>
      <c r="Q23" s="11" t="s">
        <v>132</v>
      </c>
      <c r="R23" s="12" t="s">
        <v>478</v>
      </c>
      <c r="S23" s="11" t="s">
        <v>42</v>
      </c>
      <c r="T23" s="11" t="s">
        <v>43</v>
      </c>
      <c r="U23" s="11" t="s">
        <v>42</v>
      </c>
      <c r="V23" s="11" t="s">
        <v>42</v>
      </c>
      <c r="W23" s="11" t="s">
        <v>75</v>
      </c>
      <c r="X23" s="11" t="s">
        <v>67</v>
      </c>
      <c r="Y23" s="13"/>
      <c r="Z23" s="13"/>
      <c r="AA23" s="13"/>
      <c r="AB23" s="13"/>
      <c r="AC23" s="13"/>
    </row>
    <row r="24">
      <c r="A24" s="11" t="s">
        <v>479</v>
      </c>
      <c r="B24" s="12" t="s">
        <v>480</v>
      </c>
      <c r="C24" s="12" t="s">
        <v>481</v>
      </c>
      <c r="D24" s="38" t="s">
        <v>482</v>
      </c>
      <c r="E24" s="11" t="s">
        <v>112</v>
      </c>
      <c r="F24" s="11" t="s">
        <v>483</v>
      </c>
      <c r="G24" s="17" t="s">
        <v>484</v>
      </c>
      <c r="H24" s="11">
        <v>155.39648</v>
      </c>
      <c r="I24" s="11">
        <v>6.32872</v>
      </c>
      <c r="J24" s="13"/>
      <c r="K24" s="11" t="s">
        <v>485</v>
      </c>
      <c r="L24" s="13"/>
      <c r="M24" s="17" t="s">
        <v>486</v>
      </c>
      <c r="N24" s="11">
        <v>12.0</v>
      </c>
      <c r="O24" s="11" t="s">
        <v>487</v>
      </c>
      <c r="P24" s="11" t="s">
        <v>64</v>
      </c>
      <c r="Q24" s="11" t="s">
        <v>132</v>
      </c>
      <c r="R24" s="12" t="s">
        <v>488</v>
      </c>
      <c r="S24" s="13"/>
      <c r="T24" s="18" t="s">
        <v>489</v>
      </c>
      <c r="U24" s="13"/>
      <c r="V24" s="13"/>
      <c r="W24" s="13"/>
      <c r="X24" s="11" t="s">
        <v>67</v>
      </c>
      <c r="Y24" s="13"/>
      <c r="Z24" s="13"/>
      <c r="AA24" s="13"/>
      <c r="AB24" s="13"/>
      <c r="AC24" s="13"/>
    </row>
    <row r="25">
      <c r="A25" s="11" t="s">
        <v>490</v>
      </c>
      <c r="B25" s="12" t="s">
        <v>491</v>
      </c>
      <c r="C25" s="12" t="s">
        <v>492</v>
      </c>
      <c r="D25" s="11" t="s">
        <v>493</v>
      </c>
      <c r="E25" s="11" t="s">
        <v>494</v>
      </c>
      <c r="F25" s="11" t="s">
        <v>495</v>
      </c>
      <c r="G25" s="73" t="s">
        <v>496</v>
      </c>
      <c r="H25" s="11">
        <v>194.63185</v>
      </c>
      <c r="I25" s="11">
        <v>76.17637</v>
      </c>
      <c r="J25" s="13"/>
      <c r="K25" s="11" t="s">
        <v>497</v>
      </c>
      <c r="L25" s="11" t="s">
        <v>498</v>
      </c>
      <c r="M25" s="11" t="s">
        <v>499</v>
      </c>
      <c r="N25" s="11">
        <v>1.0</v>
      </c>
      <c r="O25" s="11" t="s">
        <v>451</v>
      </c>
      <c r="P25" s="11" t="s">
        <v>64</v>
      </c>
      <c r="Q25" s="11" t="s">
        <v>132</v>
      </c>
      <c r="R25" s="12" t="s">
        <v>500</v>
      </c>
      <c r="S25" s="11" t="s">
        <v>42</v>
      </c>
      <c r="T25" s="11" t="s">
        <v>501</v>
      </c>
      <c r="U25" s="11" t="s">
        <v>42</v>
      </c>
      <c r="V25" s="11" t="s">
        <v>42</v>
      </c>
      <c r="W25" s="11" t="s">
        <v>75</v>
      </c>
      <c r="X25" s="11" t="s">
        <v>67</v>
      </c>
      <c r="Y25" s="13"/>
      <c r="Z25" s="13"/>
      <c r="AA25" s="13"/>
      <c r="AB25" s="13"/>
      <c r="AC25" s="13"/>
    </row>
    <row r="26">
      <c r="A26" s="11" t="s">
        <v>502</v>
      </c>
      <c r="B26" s="12" t="s">
        <v>503</v>
      </c>
      <c r="C26" s="12" t="s">
        <v>504</v>
      </c>
      <c r="D26" s="18" t="s">
        <v>505</v>
      </c>
      <c r="E26" s="72" t="s">
        <v>506</v>
      </c>
      <c r="F26" s="11" t="s">
        <v>507</v>
      </c>
      <c r="G26" s="11" t="s">
        <v>508</v>
      </c>
      <c r="H26" s="11">
        <v>116.163</v>
      </c>
      <c r="I26" s="11">
        <v>35.269</v>
      </c>
      <c r="J26" s="13"/>
      <c r="K26" s="11" t="s">
        <v>509</v>
      </c>
      <c r="L26" s="17" t="s">
        <v>510</v>
      </c>
      <c r="M26" s="11" t="s">
        <v>75</v>
      </c>
      <c r="N26" s="11">
        <v>1.0</v>
      </c>
      <c r="O26" s="11" t="s">
        <v>511</v>
      </c>
      <c r="P26" s="11" t="s">
        <v>64</v>
      </c>
      <c r="Q26" s="11" t="s">
        <v>132</v>
      </c>
      <c r="R26" s="12" t="s">
        <v>512</v>
      </c>
      <c r="S26" s="11" t="s">
        <v>42</v>
      </c>
      <c r="T26" s="11" t="s">
        <v>373</v>
      </c>
      <c r="U26" s="11" t="s">
        <v>42</v>
      </c>
      <c r="V26" s="11" t="s">
        <v>42</v>
      </c>
      <c r="W26" s="11" t="s">
        <v>75</v>
      </c>
      <c r="X26" s="11" t="s">
        <v>67</v>
      </c>
      <c r="Y26" s="13"/>
      <c r="Z26" s="13"/>
      <c r="AA26" s="13"/>
      <c r="AB26" s="13"/>
      <c r="AC26" s="13"/>
    </row>
    <row r="27">
      <c r="A27" s="11" t="s">
        <v>513</v>
      </c>
      <c r="B27" s="12" t="s">
        <v>514</v>
      </c>
      <c r="C27" s="12" t="s">
        <v>515</v>
      </c>
      <c r="D27" s="38" t="s">
        <v>516</v>
      </c>
      <c r="E27" s="72" t="s">
        <v>517</v>
      </c>
      <c r="F27" s="11" t="s">
        <v>518</v>
      </c>
      <c r="G27" s="11" t="s">
        <v>519</v>
      </c>
      <c r="H27" s="11">
        <v>84.1511</v>
      </c>
      <c r="I27" s="11">
        <v>-25.2968</v>
      </c>
      <c r="J27" s="13"/>
      <c r="K27" s="11" t="s">
        <v>520</v>
      </c>
      <c r="L27" s="17" t="s">
        <v>521</v>
      </c>
      <c r="M27" s="76" t="s">
        <v>522</v>
      </c>
      <c r="N27" s="11">
        <v>2.0</v>
      </c>
      <c r="O27" s="11" t="s">
        <v>523</v>
      </c>
      <c r="P27" s="11" t="s">
        <v>64</v>
      </c>
      <c r="Q27" s="11" t="s">
        <v>132</v>
      </c>
      <c r="R27" s="12" t="s">
        <v>524</v>
      </c>
      <c r="S27" s="11" t="s">
        <v>42</v>
      </c>
      <c r="T27" s="11" t="s">
        <v>525</v>
      </c>
      <c r="U27" s="11" t="s">
        <v>42</v>
      </c>
      <c r="V27" s="53" t="s">
        <v>526</v>
      </c>
      <c r="W27" s="13"/>
      <c r="X27" s="11" t="s">
        <v>67</v>
      </c>
      <c r="Y27" s="13"/>
      <c r="Z27" s="13"/>
      <c r="AA27" s="13"/>
      <c r="AB27" s="13"/>
      <c r="AC27" s="13"/>
    </row>
    <row r="28">
      <c r="A28" s="11" t="s">
        <v>527</v>
      </c>
      <c r="B28" s="12" t="s">
        <v>528</v>
      </c>
      <c r="C28" s="12" t="s">
        <v>529</v>
      </c>
      <c r="D28" s="79">
        <v>45655.003020833334</v>
      </c>
      <c r="E28" s="38" t="s">
        <v>396</v>
      </c>
      <c r="F28" s="11" t="s">
        <v>75</v>
      </c>
      <c r="G28" s="17"/>
      <c r="H28" s="11">
        <v>192.8735</v>
      </c>
      <c r="I28" s="11">
        <v>31.7474</v>
      </c>
      <c r="J28" s="13"/>
      <c r="K28" s="11"/>
      <c r="L28" s="72"/>
      <c r="M28" s="17" t="s">
        <v>75</v>
      </c>
      <c r="N28" s="11">
        <v>3.0</v>
      </c>
      <c r="O28" s="11" t="s">
        <v>530</v>
      </c>
      <c r="P28" s="11" t="s">
        <v>64</v>
      </c>
      <c r="Q28" s="11" t="s">
        <v>132</v>
      </c>
      <c r="R28" s="12" t="s">
        <v>531</v>
      </c>
      <c r="S28" s="11" t="s">
        <v>42</v>
      </c>
      <c r="T28" s="53" t="s">
        <v>532</v>
      </c>
      <c r="U28" s="11" t="s">
        <v>42</v>
      </c>
      <c r="V28" s="11" t="s">
        <v>42</v>
      </c>
      <c r="W28" s="11" t="s">
        <v>75</v>
      </c>
      <c r="X28" s="11" t="s">
        <v>67</v>
      </c>
      <c r="Y28" s="13"/>
      <c r="Z28" s="13"/>
      <c r="AA28" s="13"/>
      <c r="AB28" s="13"/>
      <c r="AC28" s="13"/>
    </row>
    <row r="29">
      <c r="A29" s="11" t="s">
        <v>533</v>
      </c>
      <c r="B29" s="12" t="s">
        <v>534</v>
      </c>
      <c r="C29" s="13"/>
      <c r="D29" s="13"/>
      <c r="E29" s="80" t="s">
        <v>535</v>
      </c>
      <c r="F29" s="80" t="s">
        <v>536</v>
      </c>
      <c r="G29" s="81" t="s">
        <v>537</v>
      </c>
      <c r="H29" s="11">
        <v>274.1803</v>
      </c>
      <c r="I29" s="11">
        <v>74.6851</v>
      </c>
      <c r="J29" s="13"/>
      <c r="K29" s="11" t="s">
        <v>538</v>
      </c>
      <c r="L29" s="72" t="s">
        <v>539</v>
      </c>
      <c r="M29" s="17" t="s">
        <v>75</v>
      </c>
      <c r="N29" s="11">
        <v>7.0</v>
      </c>
      <c r="O29" s="11" t="s">
        <v>301</v>
      </c>
      <c r="P29" s="11" t="s">
        <v>64</v>
      </c>
      <c r="Q29" s="11" t="s">
        <v>132</v>
      </c>
      <c r="R29" s="12" t="s">
        <v>540</v>
      </c>
      <c r="S29" s="11" t="s">
        <v>42</v>
      </c>
      <c r="T29" s="11" t="s">
        <v>43</v>
      </c>
      <c r="U29" s="11" t="s">
        <v>42</v>
      </c>
      <c r="V29" s="11" t="s">
        <v>42</v>
      </c>
      <c r="W29" s="11" t="s">
        <v>75</v>
      </c>
      <c r="X29" s="11" t="s">
        <v>67</v>
      </c>
      <c r="Y29" s="13"/>
      <c r="Z29" s="13"/>
      <c r="AA29" s="13"/>
      <c r="AB29" s="13"/>
      <c r="AC29" s="13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</row>
    <row r="78">
      <c r="C78" s="57"/>
      <c r="D78" s="57"/>
      <c r="E78" s="57"/>
      <c r="F78" s="57"/>
      <c r="G78" s="57"/>
      <c r="L78" s="57"/>
      <c r="M78" s="57"/>
    </row>
    <row r="79">
      <c r="C79" s="57"/>
      <c r="D79" s="57"/>
      <c r="E79" s="57"/>
      <c r="F79" s="57"/>
      <c r="G79" s="57"/>
      <c r="L79" s="57"/>
      <c r="M79" s="57"/>
    </row>
    <row r="80">
      <c r="C80" s="57"/>
      <c r="D80" s="57"/>
      <c r="E80" s="57"/>
      <c r="F80" s="57"/>
      <c r="G80" s="57"/>
      <c r="L80" s="57"/>
      <c r="M80" s="57"/>
    </row>
    <row r="81">
      <c r="C81" s="57"/>
      <c r="D81" s="57"/>
      <c r="E81" s="57"/>
      <c r="F81" s="57"/>
      <c r="G81" s="57"/>
      <c r="L81" s="57"/>
      <c r="M81" s="57"/>
    </row>
    <row r="82">
      <c r="C82" s="57"/>
      <c r="D82" s="57"/>
      <c r="E82" s="57"/>
      <c r="F82" s="57"/>
      <c r="G82" s="57"/>
      <c r="L82" s="57"/>
      <c r="M82" s="57"/>
    </row>
    <row r="83">
      <c r="C83" s="57"/>
      <c r="D83" s="57"/>
      <c r="E83" s="57"/>
      <c r="F83" s="57"/>
      <c r="G83" s="57"/>
      <c r="L83" s="57"/>
      <c r="M83" s="57"/>
    </row>
    <row r="84">
      <c r="C84" s="57"/>
      <c r="D84" s="57"/>
      <c r="E84" s="57"/>
      <c r="F84" s="57"/>
      <c r="G84" s="57"/>
      <c r="L84" s="57"/>
      <c r="M84" s="57"/>
    </row>
    <row r="85">
      <c r="C85" s="57"/>
      <c r="D85" s="57"/>
      <c r="E85" s="57"/>
      <c r="F85" s="57"/>
      <c r="G85" s="57"/>
      <c r="L85" s="57"/>
      <c r="M85" s="57"/>
    </row>
    <row r="86">
      <c r="C86" s="57"/>
      <c r="D86" s="57"/>
      <c r="E86" s="57"/>
      <c r="F86" s="57"/>
      <c r="G86" s="57"/>
      <c r="L86" s="57"/>
      <c r="M86" s="57"/>
    </row>
    <row r="87">
      <c r="C87" s="57"/>
      <c r="D87" s="57"/>
      <c r="E87" s="57"/>
      <c r="F87" s="57"/>
      <c r="G87" s="57"/>
      <c r="L87" s="57"/>
      <c r="M87" s="57"/>
    </row>
    <row r="88">
      <c r="C88" s="57"/>
      <c r="D88" s="57"/>
      <c r="E88" s="57"/>
      <c r="F88" s="57"/>
      <c r="G88" s="57"/>
      <c r="L88" s="57"/>
      <c r="M88" s="57"/>
    </row>
    <row r="89">
      <c r="C89" s="57"/>
      <c r="D89" s="57"/>
      <c r="E89" s="57"/>
      <c r="F89" s="57"/>
      <c r="G89" s="57"/>
      <c r="L89" s="57"/>
      <c r="M89" s="57"/>
    </row>
    <row r="90">
      <c r="C90" s="57"/>
      <c r="D90" s="57"/>
      <c r="E90" s="57"/>
      <c r="F90" s="57"/>
      <c r="G90" s="57"/>
      <c r="L90" s="57"/>
      <c r="M90" s="57"/>
    </row>
    <row r="91">
      <c r="C91" s="57"/>
      <c r="D91" s="57"/>
      <c r="E91" s="57"/>
      <c r="F91" s="57"/>
      <c r="G91" s="57"/>
      <c r="L91" s="57"/>
      <c r="M91" s="57"/>
    </row>
    <row r="92">
      <c r="C92" s="57"/>
      <c r="D92" s="57"/>
      <c r="E92" s="57"/>
      <c r="F92" s="57"/>
      <c r="G92" s="57"/>
      <c r="L92" s="57"/>
      <c r="M92" s="57"/>
    </row>
    <row r="93">
      <c r="C93" s="57"/>
      <c r="D93" s="57"/>
      <c r="E93" s="57"/>
      <c r="F93" s="57"/>
      <c r="G93" s="57"/>
      <c r="L93" s="57"/>
      <c r="M93" s="57"/>
    </row>
    <row r="94">
      <c r="C94" s="57"/>
      <c r="D94" s="57"/>
      <c r="E94" s="57"/>
      <c r="F94" s="57"/>
      <c r="G94" s="57"/>
      <c r="L94" s="57"/>
      <c r="M94" s="57"/>
    </row>
    <row r="95">
      <c r="C95" s="57"/>
      <c r="D95" s="57"/>
      <c r="E95" s="57"/>
      <c r="F95" s="57"/>
      <c r="G95" s="57"/>
      <c r="L95" s="57"/>
      <c r="M95" s="57"/>
    </row>
    <row r="96">
      <c r="C96" s="57"/>
      <c r="D96" s="57"/>
      <c r="E96" s="57"/>
      <c r="F96" s="57"/>
      <c r="G96" s="57"/>
      <c r="L96" s="57"/>
      <c r="M96" s="57"/>
    </row>
    <row r="97">
      <c r="C97" s="57"/>
      <c r="D97" s="57"/>
      <c r="E97" s="57"/>
      <c r="F97" s="57"/>
      <c r="G97" s="57"/>
      <c r="L97" s="57"/>
      <c r="M97" s="57"/>
    </row>
    <row r="98">
      <c r="C98" s="57"/>
      <c r="D98" s="57"/>
      <c r="E98" s="57"/>
      <c r="F98" s="57"/>
      <c r="G98" s="57"/>
      <c r="L98" s="57"/>
      <c r="M98" s="57"/>
    </row>
    <row r="99">
      <c r="C99" s="57"/>
      <c r="D99" s="57"/>
      <c r="E99" s="57"/>
      <c r="F99" s="57"/>
      <c r="G99" s="57"/>
      <c r="L99" s="57"/>
      <c r="M99" s="57"/>
    </row>
    <row r="100">
      <c r="C100" s="57"/>
      <c r="D100" s="57"/>
      <c r="E100" s="57"/>
      <c r="F100" s="57"/>
      <c r="G100" s="57"/>
      <c r="L100" s="57"/>
      <c r="M100" s="57"/>
    </row>
    <row r="101">
      <c r="C101" s="57"/>
      <c r="D101" s="57"/>
      <c r="E101" s="57"/>
      <c r="F101" s="57"/>
      <c r="G101" s="57"/>
      <c r="L101" s="57"/>
      <c r="M101" s="57"/>
    </row>
    <row r="102">
      <c r="C102" s="57"/>
      <c r="D102" s="57"/>
      <c r="E102" s="57"/>
      <c r="F102" s="57"/>
      <c r="G102" s="57"/>
      <c r="L102" s="57"/>
      <c r="M102" s="57"/>
    </row>
    <row r="103">
      <c r="C103" s="57"/>
      <c r="D103" s="57"/>
      <c r="E103" s="57"/>
      <c r="F103" s="57"/>
      <c r="G103" s="57"/>
      <c r="L103" s="57"/>
      <c r="M103" s="57"/>
    </row>
    <row r="104">
      <c r="C104" s="57"/>
      <c r="D104" s="57"/>
      <c r="E104" s="57"/>
      <c r="F104" s="57"/>
      <c r="G104" s="57"/>
      <c r="L104" s="57"/>
      <c r="M104" s="57"/>
    </row>
    <row r="105">
      <c r="C105" s="57"/>
      <c r="D105" s="57"/>
      <c r="E105" s="57"/>
      <c r="F105" s="57"/>
      <c r="G105" s="57"/>
      <c r="L105" s="57"/>
      <c r="M105" s="57"/>
    </row>
    <row r="106">
      <c r="C106" s="57"/>
      <c r="D106" s="57"/>
      <c r="E106" s="57"/>
      <c r="F106" s="57"/>
      <c r="G106" s="57"/>
      <c r="L106" s="57"/>
      <c r="M106" s="57"/>
    </row>
    <row r="107">
      <c r="C107" s="57"/>
      <c r="D107" s="57"/>
      <c r="E107" s="57"/>
      <c r="F107" s="57"/>
      <c r="G107" s="57"/>
      <c r="L107" s="57"/>
      <c r="M107" s="57"/>
    </row>
    <row r="108">
      <c r="C108" s="57"/>
      <c r="D108" s="57"/>
      <c r="E108" s="57"/>
      <c r="F108" s="57"/>
      <c r="G108" s="57"/>
      <c r="L108" s="57"/>
      <c r="M108" s="57"/>
    </row>
    <row r="109">
      <c r="C109" s="57"/>
      <c r="D109" s="57"/>
      <c r="E109" s="57"/>
      <c r="F109" s="57"/>
      <c r="G109" s="57"/>
      <c r="L109" s="57"/>
      <c r="M109" s="57"/>
    </row>
    <row r="110">
      <c r="C110" s="57"/>
      <c r="D110" s="57"/>
      <c r="E110" s="57"/>
      <c r="F110" s="57"/>
      <c r="G110" s="57"/>
      <c r="L110" s="57"/>
      <c r="M110" s="57"/>
    </row>
    <row r="111">
      <c r="C111" s="57"/>
      <c r="D111" s="57"/>
      <c r="E111" s="57"/>
      <c r="F111" s="57"/>
      <c r="G111" s="57"/>
      <c r="L111" s="57"/>
      <c r="M111" s="57"/>
    </row>
    <row r="112">
      <c r="C112" s="57"/>
      <c r="D112" s="57"/>
      <c r="E112" s="57"/>
      <c r="F112" s="57"/>
      <c r="G112" s="57"/>
      <c r="L112" s="57"/>
      <c r="M112" s="57"/>
    </row>
    <row r="113">
      <c r="C113" s="57"/>
      <c r="D113" s="57"/>
      <c r="E113" s="57"/>
      <c r="F113" s="57"/>
      <c r="G113" s="57"/>
      <c r="L113" s="57"/>
      <c r="M113" s="57"/>
    </row>
    <row r="114">
      <c r="C114" s="57"/>
      <c r="D114" s="57"/>
      <c r="E114" s="57"/>
      <c r="F114" s="57"/>
      <c r="G114" s="57"/>
      <c r="L114" s="57"/>
      <c r="M114" s="57"/>
    </row>
    <row r="115">
      <c r="C115" s="57"/>
      <c r="D115" s="57"/>
      <c r="E115" s="57"/>
      <c r="F115" s="57"/>
      <c r="G115" s="57"/>
      <c r="L115" s="57"/>
      <c r="M115" s="57"/>
    </row>
    <row r="116">
      <c r="C116" s="57"/>
      <c r="D116" s="57"/>
      <c r="E116" s="57"/>
      <c r="F116" s="57"/>
      <c r="G116" s="57"/>
      <c r="L116" s="57"/>
      <c r="M116" s="57"/>
    </row>
    <row r="117">
      <c r="C117" s="57"/>
      <c r="D117" s="57"/>
      <c r="E117" s="57"/>
      <c r="F117" s="57"/>
      <c r="G117" s="57"/>
      <c r="L117" s="57"/>
      <c r="M117" s="57"/>
    </row>
    <row r="118">
      <c r="C118" s="57"/>
      <c r="D118" s="57"/>
      <c r="E118" s="57"/>
      <c r="F118" s="57"/>
      <c r="G118" s="57"/>
      <c r="L118" s="57"/>
      <c r="M118" s="57"/>
    </row>
    <row r="119">
      <c r="C119" s="57"/>
      <c r="D119" s="57"/>
      <c r="E119" s="57"/>
      <c r="F119" s="57"/>
      <c r="G119" s="57"/>
      <c r="L119" s="57"/>
      <c r="M119" s="57"/>
    </row>
    <row r="120">
      <c r="C120" s="57"/>
      <c r="D120" s="57"/>
      <c r="E120" s="57"/>
      <c r="F120" s="57"/>
      <c r="G120" s="57"/>
      <c r="L120" s="57"/>
      <c r="M120" s="57"/>
    </row>
    <row r="121">
      <c r="C121" s="57"/>
      <c r="D121" s="57"/>
      <c r="E121" s="57"/>
      <c r="F121" s="57"/>
      <c r="G121" s="57"/>
      <c r="L121" s="57"/>
      <c r="M121" s="57"/>
    </row>
    <row r="122">
      <c r="C122" s="57"/>
      <c r="D122" s="57"/>
      <c r="E122" s="57"/>
      <c r="F122" s="57"/>
      <c r="G122" s="57"/>
      <c r="L122" s="57"/>
      <c r="M122" s="57"/>
    </row>
    <row r="123">
      <c r="C123" s="57"/>
      <c r="D123" s="57"/>
      <c r="E123" s="57"/>
      <c r="F123" s="57"/>
      <c r="G123" s="57"/>
      <c r="L123" s="57"/>
      <c r="M123" s="57"/>
    </row>
    <row r="124">
      <c r="C124" s="57"/>
      <c r="D124" s="57"/>
      <c r="E124" s="57"/>
      <c r="F124" s="57"/>
      <c r="G124" s="57"/>
      <c r="L124" s="57"/>
      <c r="M124" s="57"/>
    </row>
    <row r="125">
      <c r="C125" s="57"/>
      <c r="D125" s="57"/>
      <c r="E125" s="57"/>
      <c r="F125" s="57"/>
      <c r="G125" s="57"/>
      <c r="L125" s="57"/>
      <c r="M125" s="57"/>
    </row>
    <row r="126">
      <c r="C126" s="57"/>
      <c r="D126" s="57"/>
      <c r="E126" s="57"/>
      <c r="F126" s="57"/>
      <c r="G126" s="57"/>
      <c r="L126" s="57"/>
      <c r="M126" s="57"/>
    </row>
    <row r="127">
      <c r="C127" s="57"/>
      <c r="D127" s="57"/>
      <c r="E127" s="57"/>
      <c r="F127" s="57"/>
      <c r="G127" s="57"/>
      <c r="L127" s="57"/>
      <c r="M127" s="57"/>
    </row>
    <row r="128">
      <c r="C128" s="57"/>
      <c r="D128" s="57"/>
      <c r="E128" s="57"/>
      <c r="F128" s="57"/>
      <c r="G128" s="57"/>
      <c r="L128" s="57"/>
      <c r="M128" s="57"/>
    </row>
    <row r="129">
      <c r="C129" s="57"/>
      <c r="D129" s="57"/>
      <c r="E129" s="57"/>
      <c r="F129" s="57"/>
      <c r="G129" s="57"/>
      <c r="L129" s="57"/>
      <c r="M129" s="57"/>
    </row>
    <row r="130">
      <c r="C130" s="57"/>
      <c r="D130" s="57"/>
      <c r="E130" s="57"/>
      <c r="F130" s="57"/>
      <c r="G130" s="57"/>
      <c r="L130" s="57"/>
      <c r="M130" s="57"/>
    </row>
    <row r="131">
      <c r="C131" s="57"/>
      <c r="D131" s="57"/>
      <c r="E131" s="57"/>
      <c r="F131" s="57"/>
      <c r="G131" s="57"/>
      <c r="L131" s="57"/>
      <c r="M131" s="57"/>
    </row>
    <row r="132">
      <c r="C132" s="57"/>
      <c r="D132" s="57"/>
      <c r="E132" s="57"/>
      <c r="F132" s="57"/>
      <c r="G132" s="57"/>
      <c r="L132" s="57"/>
      <c r="M132" s="57"/>
    </row>
    <row r="133">
      <c r="C133" s="57"/>
      <c r="D133" s="57"/>
      <c r="E133" s="57"/>
      <c r="F133" s="57"/>
      <c r="G133" s="57"/>
      <c r="L133" s="57"/>
      <c r="M133" s="57"/>
    </row>
    <row r="134">
      <c r="C134" s="57"/>
      <c r="D134" s="57"/>
      <c r="E134" s="57"/>
      <c r="F134" s="57"/>
      <c r="G134" s="57"/>
      <c r="L134" s="57"/>
      <c r="M134" s="57"/>
    </row>
    <row r="135">
      <c r="C135" s="57"/>
      <c r="D135" s="57"/>
      <c r="E135" s="57"/>
      <c r="F135" s="57"/>
      <c r="G135" s="57"/>
      <c r="L135" s="57"/>
      <c r="M135" s="57"/>
    </row>
    <row r="136">
      <c r="C136" s="57"/>
      <c r="D136" s="57"/>
      <c r="E136" s="57"/>
      <c r="F136" s="57"/>
      <c r="G136" s="57"/>
      <c r="L136" s="57"/>
      <c r="M136" s="57"/>
    </row>
    <row r="137">
      <c r="C137" s="57"/>
      <c r="D137" s="57"/>
      <c r="E137" s="57"/>
      <c r="F137" s="57"/>
      <c r="G137" s="57"/>
      <c r="L137" s="57"/>
      <c r="M137" s="57"/>
    </row>
    <row r="138">
      <c r="C138" s="57"/>
      <c r="D138" s="57"/>
      <c r="E138" s="57"/>
      <c r="F138" s="57"/>
      <c r="G138" s="57"/>
      <c r="L138" s="57"/>
      <c r="M138" s="57"/>
    </row>
    <row r="139">
      <c r="C139" s="57"/>
      <c r="D139" s="57"/>
      <c r="E139" s="57"/>
      <c r="F139" s="57"/>
      <c r="G139" s="57"/>
      <c r="L139" s="57"/>
      <c r="M139" s="57"/>
    </row>
    <row r="140">
      <c r="C140" s="57"/>
      <c r="D140" s="57"/>
      <c r="E140" s="57"/>
      <c r="F140" s="57"/>
      <c r="G140" s="57"/>
      <c r="L140" s="57"/>
      <c r="M140" s="57"/>
    </row>
    <row r="141">
      <c r="C141" s="57"/>
      <c r="D141" s="57"/>
      <c r="E141" s="57"/>
      <c r="F141" s="57"/>
      <c r="G141" s="57"/>
      <c r="L141" s="57"/>
      <c r="M141" s="57"/>
    </row>
    <row r="142">
      <c r="C142" s="57"/>
      <c r="D142" s="57"/>
      <c r="E142" s="57"/>
      <c r="F142" s="57"/>
      <c r="G142" s="57"/>
      <c r="L142" s="57"/>
      <c r="M142" s="57"/>
    </row>
    <row r="143">
      <c r="C143" s="57"/>
      <c r="D143" s="57"/>
      <c r="E143" s="57"/>
      <c r="F143" s="57"/>
      <c r="G143" s="57"/>
      <c r="L143" s="57"/>
      <c r="M143" s="57"/>
    </row>
    <row r="144">
      <c r="C144" s="57"/>
      <c r="D144" s="57"/>
      <c r="E144" s="57"/>
      <c r="F144" s="57"/>
      <c r="G144" s="57"/>
      <c r="L144" s="57"/>
      <c r="M144" s="57"/>
    </row>
    <row r="145">
      <c r="C145" s="57"/>
      <c r="D145" s="57"/>
      <c r="E145" s="57"/>
      <c r="F145" s="57"/>
      <c r="G145" s="57"/>
      <c r="L145" s="57"/>
      <c r="M145" s="57"/>
    </row>
    <row r="146">
      <c r="C146" s="57"/>
      <c r="D146" s="57"/>
      <c r="E146" s="57"/>
      <c r="F146" s="57"/>
      <c r="G146" s="57"/>
      <c r="L146" s="57"/>
      <c r="M146" s="57"/>
    </row>
    <row r="147">
      <c r="C147" s="57"/>
      <c r="D147" s="57"/>
      <c r="E147" s="57"/>
      <c r="F147" s="57"/>
      <c r="G147" s="57"/>
      <c r="L147" s="57"/>
      <c r="M147" s="57"/>
    </row>
    <row r="148">
      <c r="C148" s="57"/>
      <c r="D148" s="57"/>
      <c r="E148" s="57"/>
      <c r="F148" s="57"/>
      <c r="G148" s="57"/>
      <c r="L148" s="57"/>
      <c r="M148" s="57"/>
    </row>
    <row r="149">
      <c r="C149" s="57"/>
      <c r="D149" s="57"/>
      <c r="E149" s="57"/>
      <c r="F149" s="57"/>
      <c r="G149" s="57"/>
      <c r="L149" s="57"/>
      <c r="M149" s="57"/>
    </row>
    <row r="150">
      <c r="C150" s="57"/>
      <c r="D150" s="57"/>
      <c r="E150" s="57"/>
      <c r="F150" s="57"/>
      <c r="G150" s="57"/>
      <c r="L150" s="57"/>
      <c r="M150" s="57"/>
    </row>
    <row r="151">
      <c r="C151" s="57"/>
      <c r="D151" s="57"/>
      <c r="E151" s="57"/>
      <c r="F151" s="57"/>
      <c r="G151" s="57"/>
      <c r="L151" s="57"/>
      <c r="M151" s="57"/>
    </row>
    <row r="152">
      <c r="C152" s="57"/>
      <c r="D152" s="57"/>
      <c r="E152" s="57"/>
      <c r="F152" s="57"/>
      <c r="G152" s="57"/>
      <c r="L152" s="57"/>
      <c r="M152" s="57"/>
    </row>
    <row r="153">
      <c r="C153" s="57"/>
      <c r="D153" s="57"/>
      <c r="E153" s="57"/>
      <c r="F153" s="57"/>
      <c r="G153" s="57"/>
      <c r="L153" s="57"/>
      <c r="M153" s="57"/>
    </row>
    <row r="154">
      <c r="C154" s="57"/>
      <c r="D154" s="57"/>
      <c r="E154" s="57"/>
      <c r="F154" s="57"/>
      <c r="G154" s="57"/>
      <c r="L154" s="57"/>
      <c r="M154" s="57"/>
    </row>
    <row r="155">
      <c r="C155" s="57"/>
      <c r="D155" s="57"/>
      <c r="E155" s="57"/>
      <c r="F155" s="57"/>
      <c r="G155" s="57"/>
      <c r="L155" s="57"/>
      <c r="M155" s="57"/>
    </row>
    <row r="156">
      <c r="C156" s="57"/>
      <c r="D156" s="57"/>
      <c r="E156" s="57"/>
      <c r="F156" s="57"/>
      <c r="G156" s="57"/>
      <c r="L156" s="57"/>
      <c r="M156" s="57"/>
    </row>
    <row r="157">
      <c r="C157" s="57"/>
      <c r="D157" s="57"/>
      <c r="E157" s="57"/>
      <c r="F157" s="57"/>
      <c r="G157" s="57"/>
      <c r="L157" s="57"/>
      <c r="M157" s="57"/>
    </row>
    <row r="158">
      <c r="C158" s="57"/>
      <c r="D158" s="57"/>
      <c r="E158" s="57"/>
      <c r="F158" s="57"/>
      <c r="G158" s="57"/>
      <c r="L158" s="57"/>
      <c r="M158" s="57"/>
    </row>
    <row r="159">
      <c r="C159" s="57"/>
      <c r="D159" s="57"/>
      <c r="E159" s="57"/>
      <c r="F159" s="57"/>
      <c r="G159" s="57"/>
      <c r="L159" s="57"/>
      <c r="M159" s="57"/>
    </row>
    <row r="160">
      <c r="C160" s="57"/>
      <c r="D160" s="57"/>
      <c r="E160" s="57"/>
      <c r="F160" s="57"/>
      <c r="G160" s="57"/>
      <c r="L160" s="57"/>
      <c r="M160" s="57"/>
    </row>
    <row r="161">
      <c r="C161" s="57"/>
      <c r="D161" s="57"/>
      <c r="E161" s="57"/>
      <c r="F161" s="57"/>
      <c r="G161" s="57"/>
      <c r="L161" s="57"/>
      <c r="M161" s="57"/>
    </row>
    <row r="162">
      <c r="C162" s="57"/>
      <c r="D162" s="57"/>
      <c r="E162" s="57"/>
      <c r="F162" s="57"/>
      <c r="G162" s="57"/>
      <c r="L162" s="57"/>
      <c r="M162" s="57"/>
    </row>
    <row r="163">
      <c r="C163" s="57"/>
      <c r="D163" s="57"/>
      <c r="E163" s="57"/>
      <c r="F163" s="57"/>
      <c r="G163" s="57"/>
      <c r="L163" s="57"/>
      <c r="M163" s="57"/>
    </row>
    <row r="164">
      <c r="C164" s="57"/>
      <c r="D164" s="57"/>
      <c r="E164" s="57"/>
      <c r="F164" s="57"/>
      <c r="G164" s="57"/>
      <c r="L164" s="57"/>
      <c r="M164" s="57"/>
    </row>
    <row r="165">
      <c r="C165" s="57"/>
      <c r="D165" s="57"/>
      <c r="E165" s="57"/>
      <c r="F165" s="57"/>
      <c r="G165" s="57"/>
      <c r="L165" s="57"/>
      <c r="M165" s="57"/>
    </row>
    <row r="166">
      <c r="C166" s="57"/>
      <c r="D166" s="57"/>
      <c r="E166" s="57"/>
      <c r="F166" s="57"/>
      <c r="G166" s="57"/>
      <c r="L166" s="57"/>
      <c r="M166" s="57"/>
    </row>
    <row r="167">
      <c r="C167" s="57"/>
      <c r="D167" s="57"/>
      <c r="E167" s="57"/>
      <c r="F167" s="57"/>
      <c r="G167" s="57"/>
      <c r="L167" s="57"/>
      <c r="M167" s="57"/>
    </row>
    <row r="168">
      <c r="C168" s="57"/>
      <c r="D168" s="57"/>
      <c r="E168" s="57"/>
      <c r="F168" s="57"/>
      <c r="G168" s="57"/>
      <c r="L168" s="57"/>
      <c r="M168" s="57"/>
    </row>
    <row r="169">
      <c r="C169" s="57"/>
      <c r="D169" s="57"/>
      <c r="E169" s="57"/>
      <c r="F169" s="57"/>
      <c r="G169" s="57"/>
      <c r="L169" s="57"/>
      <c r="M169" s="57"/>
    </row>
    <row r="170">
      <c r="C170" s="57"/>
      <c r="D170" s="57"/>
      <c r="E170" s="57"/>
      <c r="F170" s="57"/>
      <c r="G170" s="57"/>
      <c r="L170" s="57"/>
      <c r="M170" s="57"/>
    </row>
    <row r="171">
      <c r="C171" s="57"/>
      <c r="D171" s="57"/>
      <c r="E171" s="57"/>
      <c r="F171" s="57"/>
      <c r="G171" s="57"/>
      <c r="L171" s="57"/>
      <c r="M171" s="57"/>
    </row>
    <row r="172">
      <c r="C172" s="57"/>
      <c r="D172" s="57"/>
      <c r="E172" s="57"/>
      <c r="F172" s="57"/>
      <c r="G172" s="57"/>
      <c r="L172" s="57"/>
      <c r="M172" s="57"/>
    </row>
    <row r="173">
      <c r="C173" s="57"/>
      <c r="D173" s="57"/>
      <c r="E173" s="57"/>
      <c r="F173" s="57"/>
      <c r="G173" s="57"/>
      <c r="L173" s="57"/>
      <c r="M173" s="57"/>
    </row>
    <row r="174">
      <c r="C174" s="57"/>
      <c r="D174" s="57"/>
      <c r="E174" s="57"/>
      <c r="F174" s="57"/>
      <c r="G174" s="57"/>
      <c r="L174" s="57"/>
      <c r="M174" s="57"/>
    </row>
    <row r="175">
      <c r="C175" s="57"/>
      <c r="D175" s="57"/>
      <c r="E175" s="57"/>
      <c r="F175" s="57"/>
      <c r="G175" s="57"/>
      <c r="L175" s="57"/>
      <c r="M175" s="57"/>
    </row>
    <row r="176">
      <c r="C176" s="57"/>
      <c r="D176" s="57"/>
      <c r="E176" s="57"/>
      <c r="F176" s="57"/>
      <c r="G176" s="57"/>
      <c r="L176" s="57"/>
      <c r="M176" s="57"/>
    </row>
    <row r="177">
      <c r="C177" s="57"/>
      <c r="D177" s="57"/>
      <c r="E177" s="57"/>
      <c r="F177" s="57"/>
      <c r="G177" s="57"/>
      <c r="L177" s="57"/>
      <c r="M177" s="57"/>
    </row>
    <row r="178">
      <c r="C178" s="57"/>
      <c r="D178" s="57"/>
      <c r="E178" s="57"/>
      <c r="F178" s="57"/>
      <c r="G178" s="57"/>
      <c r="L178" s="57"/>
      <c r="M178" s="57"/>
    </row>
    <row r="179">
      <c r="C179" s="57"/>
      <c r="D179" s="57"/>
      <c r="E179" s="57"/>
      <c r="F179" s="57"/>
      <c r="G179" s="57"/>
      <c r="L179" s="57"/>
      <c r="M179" s="57"/>
    </row>
    <row r="180">
      <c r="C180" s="57"/>
      <c r="D180" s="57"/>
      <c r="E180" s="57"/>
      <c r="F180" s="57"/>
      <c r="G180" s="57"/>
      <c r="L180" s="57"/>
      <c r="M180" s="57"/>
    </row>
    <row r="181">
      <c r="C181" s="57"/>
      <c r="D181" s="57"/>
      <c r="E181" s="57"/>
      <c r="F181" s="57"/>
      <c r="G181" s="57"/>
      <c r="L181" s="57"/>
      <c r="M181" s="57"/>
    </row>
    <row r="182">
      <c r="C182" s="57"/>
      <c r="D182" s="57"/>
      <c r="E182" s="57"/>
      <c r="F182" s="57"/>
      <c r="G182" s="57"/>
      <c r="L182" s="57"/>
      <c r="M182" s="57"/>
    </row>
    <row r="183">
      <c r="C183" s="57"/>
      <c r="D183" s="57"/>
      <c r="E183" s="57"/>
      <c r="F183" s="57"/>
      <c r="G183" s="57"/>
      <c r="L183" s="57"/>
      <c r="M183" s="57"/>
    </row>
    <row r="184">
      <c r="C184" s="57"/>
      <c r="D184" s="57"/>
      <c r="E184" s="57"/>
      <c r="F184" s="57"/>
      <c r="G184" s="57"/>
      <c r="L184" s="57"/>
      <c r="M184" s="57"/>
    </row>
    <row r="185">
      <c r="C185" s="57"/>
      <c r="D185" s="57"/>
      <c r="E185" s="57"/>
      <c r="F185" s="57"/>
      <c r="G185" s="57"/>
      <c r="L185" s="57"/>
      <c r="M185" s="57"/>
    </row>
    <row r="186">
      <c r="C186" s="57"/>
      <c r="D186" s="57"/>
      <c r="E186" s="57"/>
      <c r="F186" s="57"/>
      <c r="G186" s="57"/>
      <c r="L186" s="57"/>
      <c r="M186" s="57"/>
    </row>
    <row r="187">
      <c r="C187" s="57"/>
      <c r="D187" s="57"/>
      <c r="E187" s="57"/>
      <c r="F187" s="57"/>
      <c r="G187" s="57"/>
      <c r="L187" s="57"/>
      <c r="M187" s="57"/>
    </row>
    <row r="188">
      <c r="C188" s="57"/>
      <c r="D188" s="57"/>
      <c r="E188" s="57"/>
      <c r="F188" s="57"/>
      <c r="G188" s="57"/>
      <c r="L188" s="57"/>
      <c r="M188" s="57"/>
    </row>
    <row r="189">
      <c r="C189" s="57"/>
      <c r="D189" s="57"/>
      <c r="E189" s="57"/>
      <c r="F189" s="57"/>
      <c r="G189" s="57"/>
      <c r="L189" s="57"/>
      <c r="M189" s="57"/>
    </row>
    <row r="190">
      <c r="C190" s="57"/>
      <c r="D190" s="57"/>
      <c r="E190" s="57"/>
      <c r="F190" s="57"/>
      <c r="G190" s="57"/>
      <c r="L190" s="57"/>
      <c r="M190" s="57"/>
    </row>
    <row r="191">
      <c r="C191" s="57"/>
      <c r="D191" s="57"/>
      <c r="E191" s="57"/>
      <c r="F191" s="57"/>
      <c r="G191" s="57"/>
      <c r="L191" s="57"/>
      <c r="M191" s="57"/>
    </row>
    <row r="192">
      <c r="C192" s="57"/>
      <c r="D192" s="57"/>
      <c r="E192" s="57"/>
      <c r="F192" s="57"/>
      <c r="G192" s="57"/>
      <c r="L192" s="57"/>
      <c r="M192" s="57"/>
    </row>
    <row r="193">
      <c r="C193" s="57"/>
      <c r="D193" s="57"/>
      <c r="E193" s="57"/>
      <c r="F193" s="57"/>
      <c r="G193" s="57"/>
      <c r="L193" s="57"/>
      <c r="M193" s="57"/>
    </row>
    <row r="194">
      <c r="C194" s="57"/>
      <c r="D194" s="57"/>
      <c r="E194" s="57"/>
      <c r="F194" s="57"/>
      <c r="G194" s="57"/>
      <c r="L194" s="57"/>
      <c r="M194" s="57"/>
    </row>
    <row r="195">
      <c r="C195" s="57"/>
      <c r="D195" s="57"/>
      <c r="E195" s="57"/>
      <c r="F195" s="57"/>
      <c r="G195" s="57"/>
      <c r="L195" s="57"/>
      <c r="M195" s="57"/>
    </row>
    <row r="196">
      <c r="C196" s="57"/>
      <c r="D196" s="57"/>
      <c r="E196" s="57"/>
      <c r="F196" s="57"/>
      <c r="G196" s="57"/>
      <c r="L196" s="57"/>
      <c r="M196" s="57"/>
    </row>
    <row r="197">
      <c r="C197" s="57"/>
      <c r="D197" s="57"/>
      <c r="E197" s="57"/>
      <c r="F197" s="57"/>
      <c r="G197" s="57"/>
      <c r="L197" s="57"/>
      <c r="M197" s="57"/>
    </row>
    <row r="198">
      <c r="C198" s="57"/>
      <c r="D198" s="57"/>
      <c r="E198" s="57"/>
      <c r="F198" s="57"/>
      <c r="G198" s="57"/>
      <c r="L198" s="57"/>
      <c r="M198" s="57"/>
    </row>
    <row r="199">
      <c r="C199" s="57"/>
      <c r="D199" s="57"/>
      <c r="E199" s="57"/>
      <c r="F199" s="57"/>
      <c r="G199" s="57"/>
      <c r="L199" s="57"/>
      <c r="M199" s="57"/>
    </row>
    <row r="200">
      <c r="C200" s="57"/>
      <c r="D200" s="57"/>
      <c r="E200" s="57"/>
      <c r="F200" s="57"/>
      <c r="G200" s="57"/>
      <c r="L200" s="57"/>
      <c r="M200" s="57"/>
    </row>
    <row r="201">
      <c r="C201" s="57"/>
      <c r="D201" s="57"/>
      <c r="E201" s="57"/>
      <c r="F201" s="57"/>
      <c r="G201" s="57"/>
      <c r="L201" s="57"/>
      <c r="M201" s="57"/>
    </row>
    <row r="202">
      <c r="C202" s="57"/>
      <c r="D202" s="57"/>
      <c r="E202" s="57"/>
      <c r="F202" s="57"/>
      <c r="G202" s="57"/>
      <c r="L202" s="57"/>
      <c r="M202" s="57"/>
    </row>
    <row r="203">
      <c r="C203" s="57"/>
      <c r="D203" s="57"/>
      <c r="E203" s="57"/>
      <c r="F203" s="57"/>
      <c r="G203" s="57"/>
      <c r="L203" s="57"/>
      <c r="M203" s="57"/>
    </row>
    <row r="204">
      <c r="C204" s="57"/>
      <c r="D204" s="57"/>
      <c r="E204" s="57"/>
      <c r="F204" s="57"/>
      <c r="G204" s="57"/>
      <c r="L204" s="57"/>
      <c r="M204" s="57"/>
    </row>
    <row r="205">
      <c r="C205" s="57"/>
      <c r="D205" s="57"/>
      <c r="E205" s="57"/>
      <c r="F205" s="57"/>
      <c r="G205" s="57"/>
      <c r="L205" s="57"/>
      <c r="M205" s="57"/>
    </row>
    <row r="206">
      <c r="C206" s="57"/>
      <c r="D206" s="57"/>
      <c r="E206" s="57"/>
      <c r="F206" s="57"/>
      <c r="G206" s="57"/>
      <c r="L206" s="57"/>
      <c r="M206" s="57"/>
    </row>
    <row r="207">
      <c r="C207" s="57"/>
      <c r="D207" s="57"/>
      <c r="E207" s="57"/>
      <c r="F207" s="57"/>
      <c r="G207" s="57"/>
      <c r="L207" s="57"/>
      <c r="M207" s="57"/>
    </row>
    <row r="208">
      <c r="C208" s="57"/>
      <c r="D208" s="57"/>
      <c r="E208" s="57"/>
      <c r="F208" s="57"/>
      <c r="G208" s="57"/>
      <c r="L208" s="57"/>
      <c r="M208" s="57"/>
    </row>
    <row r="209">
      <c r="C209" s="57"/>
      <c r="D209" s="57"/>
      <c r="E209" s="57"/>
      <c r="F209" s="57"/>
      <c r="G209" s="57"/>
      <c r="L209" s="57"/>
      <c r="M209" s="57"/>
    </row>
    <row r="210">
      <c r="C210" s="57"/>
      <c r="D210" s="57"/>
      <c r="E210" s="57"/>
      <c r="F210" s="57"/>
      <c r="G210" s="57"/>
      <c r="L210" s="57"/>
      <c r="M210" s="57"/>
    </row>
    <row r="211">
      <c r="C211" s="57"/>
      <c r="D211" s="57"/>
      <c r="E211" s="57"/>
      <c r="F211" s="57"/>
      <c r="G211" s="57"/>
      <c r="L211" s="57"/>
      <c r="M211" s="57"/>
    </row>
    <row r="212">
      <c r="C212" s="57"/>
      <c r="D212" s="57"/>
      <c r="E212" s="57"/>
      <c r="F212" s="57"/>
      <c r="G212" s="57"/>
      <c r="L212" s="57"/>
      <c r="M212" s="57"/>
    </row>
    <row r="213">
      <c r="C213" s="57"/>
      <c r="D213" s="57"/>
      <c r="E213" s="57"/>
      <c r="F213" s="57"/>
      <c r="G213" s="57"/>
      <c r="L213" s="57"/>
      <c r="M213" s="57"/>
    </row>
    <row r="214">
      <c r="C214" s="57"/>
      <c r="D214" s="57"/>
      <c r="E214" s="57"/>
      <c r="F214" s="57"/>
      <c r="G214" s="57"/>
      <c r="L214" s="57"/>
      <c r="M214" s="57"/>
    </row>
    <row r="215">
      <c r="C215" s="57"/>
      <c r="D215" s="57"/>
      <c r="E215" s="57"/>
      <c r="F215" s="57"/>
      <c r="G215" s="57"/>
      <c r="L215" s="57"/>
      <c r="M215" s="57"/>
    </row>
    <row r="216">
      <c r="C216" s="57"/>
      <c r="D216" s="57"/>
      <c r="E216" s="57"/>
      <c r="F216" s="57"/>
      <c r="G216" s="57"/>
      <c r="L216" s="57"/>
      <c r="M216" s="57"/>
    </row>
    <row r="217">
      <c r="C217" s="57"/>
      <c r="D217" s="57"/>
      <c r="E217" s="57"/>
      <c r="F217" s="57"/>
      <c r="G217" s="57"/>
      <c r="L217" s="57"/>
      <c r="M217" s="57"/>
    </row>
    <row r="218">
      <c r="C218" s="57"/>
      <c r="D218" s="57"/>
      <c r="E218" s="57"/>
      <c r="F218" s="57"/>
      <c r="G218" s="57"/>
      <c r="L218" s="57"/>
      <c r="M218" s="57"/>
    </row>
    <row r="219">
      <c r="C219" s="57"/>
      <c r="D219" s="57"/>
      <c r="E219" s="57"/>
      <c r="F219" s="57"/>
      <c r="G219" s="57"/>
      <c r="L219" s="57"/>
      <c r="M219" s="57"/>
    </row>
    <row r="220">
      <c r="C220" s="57"/>
      <c r="D220" s="57"/>
      <c r="E220" s="57"/>
      <c r="F220" s="57"/>
      <c r="G220" s="57"/>
      <c r="L220" s="57"/>
      <c r="M220" s="57"/>
    </row>
    <row r="221">
      <c r="C221" s="57"/>
      <c r="D221" s="57"/>
      <c r="E221" s="57"/>
      <c r="F221" s="57"/>
      <c r="G221" s="57"/>
      <c r="L221" s="57"/>
      <c r="M221" s="57"/>
    </row>
    <row r="222">
      <c r="C222" s="57"/>
      <c r="D222" s="57"/>
      <c r="E222" s="57"/>
      <c r="F222" s="57"/>
      <c r="G222" s="57"/>
      <c r="L222" s="57"/>
      <c r="M222" s="57"/>
    </row>
    <row r="223">
      <c r="C223" s="57"/>
      <c r="D223" s="57"/>
      <c r="E223" s="57"/>
      <c r="F223" s="57"/>
      <c r="G223" s="57"/>
      <c r="L223" s="57"/>
      <c r="M223" s="57"/>
    </row>
    <row r="224">
      <c r="C224" s="57"/>
      <c r="D224" s="57"/>
      <c r="E224" s="57"/>
      <c r="F224" s="57"/>
      <c r="G224" s="57"/>
      <c r="L224" s="57"/>
      <c r="M224" s="57"/>
    </row>
    <row r="225">
      <c r="C225" s="57"/>
      <c r="D225" s="57"/>
      <c r="E225" s="57"/>
      <c r="F225" s="57"/>
      <c r="G225" s="57"/>
      <c r="L225" s="57"/>
      <c r="M225" s="57"/>
    </row>
    <row r="226">
      <c r="C226" s="57"/>
      <c r="D226" s="57"/>
      <c r="E226" s="57"/>
      <c r="F226" s="57"/>
      <c r="G226" s="57"/>
      <c r="L226" s="57"/>
      <c r="M226" s="57"/>
    </row>
    <row r="227">
      <c r="C227" s="57"/>
      <c r="D227" s="57"/>
      <c r="E227" s="57"/>
      <c r="F227" s="57"/>
      <c r="G227" s="57"/>
      <c r="L227" s="57"/>
      <c r="M227" s="57"/>
    </row>
    <row r="228">
      <c r="C228" s="57"/>
      <c r="D228" s="57"/>
      <c r="E228" s="57"/>
      <c r="F228" s="57"/>
      <c r="G228" s="57"/>
      <c r="L228" s="57"/>
      <c r="M228" s="57"/>
    </row>
    <row r="229">
      <c r="C229" s="57"/>
      <c r="D229" s="57"/>
      <c r="E229" s="57"/>
      <c r="F229" s="57"/>
      <c r="G229" s="57"/>
      <c r="L229" s="57"/>
      <c r="M229" s="57"/>
    </row>
    <row r="230">
      <c r="C230" s="57"/>
      <c r="D230" s="57"/>
      <c r="E230" s="57"/>
      <c r="F230" s="57"/>
      <c r="G230" s="57"/>
      <c r="L230" s="57"/>
      <c r="M230" s="57"/>
    </row>
    <row r="231">
      <c r="C231" s="57"/>
      <c r="D231" s="57"/>
      <c r="E231" s="57"/>
      <c r="F231" s="57"/>
      <c r="G231" s="57"/>
      <c r="L231" s="57"/>
      <c r="M231" s="57"/>
    </row>
    <row r="232">
      <c r="C232" s="57"/>
      <c r="D232" s="57"/>
      <c r="E232" s="57"/>
      <c r="F232" s="57"/>
      <c r="G232" s="57"/>
      <c r="L232" s="57"/>
      <c r="M232" s="57"/>
    </row>
    <row r="233">
      <c r="C233" s="57"/>
      <c r="D233" s="57"/>
      <c r="E233" s="57"/>
      <c r="F233" s="57"/>
      <c r="G233" s="57"/>
      <c r="L233" s="57"/>
      <c r="M233" s="57"/>
    </row>
    <row r="234">
      <c r="C234" s="57"/>
      <c r="D234" s="57"/>
      <c r="E234" s="57"/>
      <c r="F234" s="57"/>
      <c r="G234" s="57"/>
      <c r="L234" s="57"/>
      <c r="M234" s="57"/>
    </row>
    <row r="235">
      <c r="C235" s="57"/>
      <c r="D235" s="57"/>
      <c r="E235" s="57"/>
      <c r="F235" s="57"/>
      <c r="G235" s="57"/>
      <c r="L235" s="57"/>
      <c r="M235" s="57"/>
    </row>
    <row r="236">
      <c r="C236" s="57"/>
      <c r="D236" s="57"/>
      <c r="E236" s="57"/>
      <c r="F236" s="57"/>
      <c r="G236" s="57"/>
      <c r="L236" s="57"/>
      <c r="M236" s="57"/>
    </row>
    <row r="237">
      <c r="C237" s="57"/>
      <c r="D237" s="57"/>
      <c r="E237" s="57"/>
      <c r="F237" s="57"/>
      <c r="G237" s="57"/>
      <c r="L237" s="57"/>
      <c r="M237" s="57"/>
    </row>
    <row r="238">
      <c r="C238" s="57"/>
      <c r="D238" s="57"/>
      <c r="E238" s="57"/>
      <c r="F238" s="57"/>
      <c r="G238" s="57"/>
      <c r="L238" s="57"/>
      <c r="M238" s="57"/>
    </row>
    <row r="239">
      <c r="C239" s="57"/>
      <c r="D239" s="57"/>
      <c r="E239" s="57"/>
      <c r="F239" s="57"/>
      <c r="G239" s="57"/>
      <c r="L239" s="57"/>
      <c r="M239" s="57"/>
    </row>
    <row r="240">
      <c r="C240" s="57"/>
      <c r="D240" s="57"/>
      <c r="E240" s="57"/>
      <c r="F240" s="57"/>
      <c r="G240" s="57"/>
      <c r="L240" s="57"/>
      <c r="M240" s="57"/>
    </row>
    <row r="241">
      <c r="C241" s="57"/>
      <c r="D241" s="57"/>
      <c r="E241" s="57"/>
      <c r="F241" s="57"/>
      <c r="G241" s="57"/>
      <c r="L241" s="57"/>
      <c r="M241" s="57"/>
    </row>
    <row r="242">
      <c r="C242" s="57"/>
      <c r="D242" s="57"/>
      <c r="E242" s="57"/>
      <c r="F242" s="57"/>
      <c r="G242" s="57"/>
      <c r="L242" s="57"/>
      <c r="M242" s="57"/>
    </row>
    <row r="243">
      <c r="C243" s="57"/>
      <c r="D243" s="57"/>
      <c r="E243" s="57"/>
      <c r="F243" s="57"/>
      <c r="G243" s="57"/>
      <c r="L243" s="57"/>
      <c r="M243" s="57"/>
    </row>
    <row r="244">
      <c r="C244" s="57"/>
      <c r="D244" s="57"/>
      <c r="E244" s="57"/>
      <c r="F244" s="57"/>
      <c r="G244" s="57"/>
      <c r="L244" s="57"/>
      <c r="M244" s="57"/>
    </row>
    <row r="245">
      <c r="C245" s="57"/>
      <c r="D245" s="57"/>
      <c r="E245" s="57"/>
      <c r="F245" s="57"/>
      <c r="G245" s="57"/>
      <c r="L245" s="57"/>
      <c r="M245" s="57"/>
    </row>
    <row r="246">
      <c r="C246" s="57"/>
      <c r="D246" s="57"/>
      <c r="E246" s="57"/>
      <c r="F246" s="57"/>
      <c r="G246" s="57"/>
      <c r="L246" s="57"/>
      <c r="M246" s="57"/>
    </row>
    <row r="247">
      <c r="C247" s="57"/>
      <c r="D247" s="57"/>
      <c r="E247" s="57"/>
      <c r="F247" s="57"/>
      <c r="G247" s="57"/>
      <c r="L247" s="57"/>
      <c r="M247" s="57"/>
    </row>
    <row r="248">
      <c r="C248" s="57"/>
      <c r="D248" s="57"/>
      <c r="E248" s="57"/>
      <c r="F248" s="57"/>
      <c r="G248" s="57"/>
      <c r="L248" s="57"/>
      <c r="M248" s="57"/>
    </row>
    <row r="249">
      <c r="C249" s="57"/>
      <c r="D249" s="57"/>
      <c r="E249" s="57"/>
      <c r="F249" s="57"/>
      <c r="G249" s="57"/>
      <c r="L249" s="57"/>
      <c r="M249" s="57"/>
    </row>
    <row r="250">
      <c r="C250" s="57"/>
      <c r="D250" s="57"/>
      <c r="E250" s="57"/>
      <c r="F250" s="57"/>
      <c r="G250" s="57"/>
      <c r="L250" s="57"/>
      <c r="M250" s="57"/>
    </row>
    <row r="251">
      <c r="C251" s="57"/>
      <c r="D251" s="57"/>
      <c r="E251" s="57"/>
      <c r="F251" s="57"/>
      <c r="G251" s="57"/>
      <c r="L251" s="57"/>
      <c r="M251" s="57"/>
    </row>
    <row r="252">
      <c r="C252" s="57"/>
      <c r="D252" s="57"/>
      <c r="E252" s="57"/>
      <c r="F252" s="57"/>
      <c r="G252" s="57"/>
      <c r="L252" s="57"/>
      <c r="M252" s="57"/>
    </row>
    <row r="253">
      <c r="C253" s="57"/>
      <c r="D253" s="57"/>
      <c r="E253" s="57"/>
      <c r="F253" s="57"/>
      <c r="G253" s="57"/>
      <c r="L253" s="57"/>
      <c r="M253" s="57"/>
    </row>
    <row r="254">
      <c r="C254" s="57"/>
      <c r="D254" s="57"/>
      <c r="E254" s="57"/>
      <c r="F254" s="57"/>
      <c r="G254" s="57"/>
      <c r="L254" s="57"/>
      <c r="M254" s="57"/>
    </row>
    <row r="255">
      <c r="C255" s="57"/>
      <c r="D255" s="57"/>
      <c r="E255" s="57"/>
      <c r="F255" s="57"/>
      <c r="G255" s="57"/>
      <c r="L255" s="57"/>
      <c r="M255" s="57"/>
    </row>
    <row r="256">
      <c r="C256" s="57"/>
      <c r="D256" s="57"/>
      <c r="E256" s="57"/>
      <c r="F256" s="57"/>
      <c r="G256" s="57"/>
      <c r="L256" s="57"/>
      <c r="M256" s="57"/>
    </row>
    <row r="257">
      <c r="C257" s="57"/>
      <c r="D257" s="57"/>
      <c r="E257" s="57"/>
      <c r="F257" s="57"/>
      <c r="G257" s="57"/>
      <c r="L257" s="57"/>
      <c r="M257" s="57"/>
    </row>
    <row r="258">
      <c r="C258" s="57"/>
      <c r="D258" s="57"/>
      <c r="E258" s="57"/>
      <c r="F258" s="57"/>
      <c r="G258" s="57"/>
      <c r="L258" s="57"/>
      <c r="M258" s="57"/>
    </row>
    <row r="259">
      <c r="C259" s="57"/>
      <c r="D259" s="57"/>
      <c r="E259" s="57"/>
      <c r="F259" s="57"/>
      <c r="G259" s="57"/>
      <c r="L259" s="57"/>
      <c r="M259" s="57"/>
    </row>
    <row r="260">
      <c r="C260" s="57"/>
      <c r="D260" s="57"/>
      <c r="E260" s="57"/>
      <c r="F260" s="57"/>
      <c r="G260" s="57"/>
      <c r="L260" s="57"/>
      <c r="M260" s="57"/>
    </row>
    <row r="261">
      <c r="C261" s="57"/>
      <c r="D261" s="57"/>
      <c r="E261" s="57"/>
      <c r="F261" s="57"/>
      <c r="G261" s="57"/>
      <c r="L261" s="57"/>
      <c r="M261" s="57"/>
    </row>
    <row r="262">
      <c r="C262" s="57"/>
      <c r="D262" s="57"/>
      <c r="E262" s="57"/>
      <c r="F262" s="57"/>
      <c r="G262" s="57"/>
      <c r="L262" s="57"/>
      <c r="M262" s="57"/>
    </row>
    <row r="263">
      <c r="C263" s="57"/>
      <c r="D263" s="57"/>
      <c r="E263" s="57"/>
      <c r="F263" s="57"/>
      <c r="G263" s="57"/>
      <c r="L263" s="57"/>
      <c r="M263" s="57"/>
    </row>
    <row r="264">
      <c r="C264" s="57"/>
      <c r="D264" s="57"/>
      <c r="E264" s="57"/>
      <c r="F264" s="57"/>
      <c r="G264" s="57"/>
      <c r="L264" s="57"/>
      <c r="M264" s="57"/>
    </row>
    <row r="265">
      <c r="C265" s="57"/>
      <c r="D265" s="57"/>
      <c r="E265" s="57"/>
      <c r="F265" s="57"/>
      <c r="G265" s="57"/>
      <c r="L265" s="57"/>
      <c r="M265" s="57"/>
    </row>
    <row r="266">
      <c r="C266" s="57"/>
      <c r="D266" s="57"/>
      <c r="E266" s="57"/>
      <c r="F266" s="57"/>
      <c r="G266" s="57"/>
      <c r="L266" s="57"/>
      <c r="M266" s="57"/>
    </row>
    <row r="267">
      <c r="C267" s="57"/>
      <c r="D267" s="57"/>
      <c r="E267" s="57"/>
      <c r="F267" s="57"/>
      <c r="G267" s="57"/>
      <c r="L267" s="57"/>
      <c r="M267" s="57"/>
    </row>
    <row r="268">
      <c r="C268" s="57"/>
      <c r="D268" s="57"/>
      <c r="E268" s="57"/>
      <c r="F268" s="57"/>
      <c r="G268" s="57"/>
      <c r="L268" s="57"/>
      <c r="M268" s="57"/>
    </row>
    <row r="269">
      <c r="C269" s="57"/>
      <c r="D269" s="57"/>
      <c r="E269" s="57"/>
      <c r="F269" s="57"/>
      <c r="G269" s="57"/>
      <c r="L269" s="57"/>
      <c r="M269" s="57"/>
    </row>
    <row r="270">
      <c r="C270" s="57"/>
      <c r="D270" s="57"/>
      <c r="E270" s="57"/>
      <c r="F270" s="57"/>
      <c r="G270" s="57"/>
      <c r="L270" s="57"/>
      <c r="M270" s="57"/>
    </row>
    <row r="271">
      <c r="C271" s="57"/>
      <c r="D271" s="57"/>
      <c r="E271" s="57"/>
      <c r="F271" s="57"/>
      <c r="G271" s="57"/>
      <c r="L271" s="57"/>
      <c r="M271" s="57"/>
    </row>
    <row r="272">
      <c r="C272" s="57"/>
      <c r="D272" s="57"/>
      <c r="E272" s="57"/>
      <c r="F272" s="57"/>
      <c r="G272" s="57"/>
      <c r="L272" s="57"/>
      <c r="M272" s="57"/>
    </row>
    <row r="273">
      <c r="C273" s="57"/>
      <c r="D273" s="57"/>
      <c r="E273" s="57"/>
      <c r="F273" s="57"/>
      <c r="G273" s="57"/>
      <c r="L273" s="57"/>
      <c r="M273" s="57"/>
    </row>
    <row r="274">
      <c r="C274" s="57"/>
      <c r="D274" s="57"/>
      <c r="E274" s="57"/>
      <c r="F274" s="57"/>
      <c r="G274" s="57"/>
      <c r="L274" s="57"/>
      <c r="M274" s="57"/>
    </row>
    <row r="275">
      <c r="C275" s="57"/>
      <c r="D275" s="57"/>
      <c r="E275" s="57"/>
      <c r="F275" s="57"/>
      <c r="G275" s="57"/>
      <c r="L275" s="57"/>
      <c r="M275" s="57"/>
    </row>
    <row r="276">
      <c r="C276" s="57"/>
      <c r="D276" s="57"/>
      <c r="E276" s="57"/>
      <c r="F276" s="57"/>
      <c r="G276" s="57"/>
      <c r="L276" s="57"/>
      <c r="M276" s="57"/>
    </row>
    <row r="277">
      <c r="C277" s="57"/>
      <c r="D277" s="57"/>
      <c r="E277" s="57"/>
      <c r="F277" s="57"/>
      <c r="G277" s="57"/>
      <c r="L277" s="57"/>
      <c r="M277" s="57"/>
    </row>
    <row r="278">
      <c r="C278" s="57"/>
      <c r="D278" s="57"/>
      <c r="E278" s="57"/>
      <c r="F278" s="57"/>
      <c r="G278" s="57"/>
      <c r="L278" s="57"/>
      <c r="M278" s="57"/>
    </row>
    <row r="279">
      <c r="C279" s="57"/>
      <c r="D279" s="57"/>
      <c r="E279" s="57"/>
      <c r="F279" s="57"/>
      <c r="G279" s="57"/>
      <c r="L279" s="57"/>
      <c r="M279" s="57"/>
    </row>
    <row r="280">
      <c r="C280" s="57"/>
      <c r="D280" s="57"/>
      <c r="E280" s="57"/>
      <c r="F280" s="57"/>
      <c r="G280" s="57"/>
      <c r="L280" s="57"/>
      <c r="M280" s="57"/>
    </row>
    <row r="281">
      <c r="C281" s="57"/>
      <c r="D281" s="57"/>
      <c r="E281" s="57"/>
      <c r="F281" s="57"/>
      <c r="G281" s="57"/>
      <c r="L281" s="57"/>
      <c r="M281" s="57"/>
    </row>
    <row r="282">
      <c r="C282" s="57"/>
      <c r="D282" s="57"/>
      <c r="E282" s="57"/>
      <c r="F282" s="57"/>
      <c r="G282" s="57"/>
      <c r="L282" s="57"/>
      <c r="M282" s="57"/>
    </row>
    <row r="283">
      <c r="C283" s="57"/>
      <c r="D283" s="57"/>
      <c r="E283" s="57"/>
      <c r="F283" s="57"/>
      <c r="G283" s="57"/>
      <c r="L283" s="57"/>
      <c r="M283" s="57"/>
    </row>
    <row r="284">
      <c r="C284" s="57"/>
      <c r="D284" s="57"/>
      <c r="E284" s="57"/>
      <c r="F284" s="57"/>
      <c r="G284" s="57"/>
      <c r="L284" s="57"/>
      <c r="M284" s="57"/>
    </row>
    <row r="285">
      <c r="C285" s="57"/>
      <c r="D285" s="57"/>
      <c r="E285" s="57"/>
      <c r="F285" s="57"/>
      <c r="G285" s="57"/>
      <c r="L285" s="57"/>
      <c r="M285" s="57"/>
    </row>
    <row r="286">
      <c r="C286" s="57"/>
      <c r="D286" s="57"/>
      <c r="E286" s="57"/>
      <c r="F286" s="57"/>
      <c r="G286" s="57"/>
      <c r="L286" s="57"/>
      <c r="M286" s="57"/>
    </row>
    <row r="287">
      <c r="C287" s="57"/>
      <c r="D287" s="57"/>
      <c r="E287" s="57"/>
      <c r="F287" s="57"/>
      <c r="G287" s="57"/>
      <c r="L287" s="57"/>
      <c r="M287" s="57"/>
    </row>
    <row r="288">
      <c r="C288" s="57"/>
      <c r="D288" s="57"/>
      <c r="E288" s="57"/>
      <c r="F288" s="57"/>
      <c r="G288" s="57"/>
      <c r="L288" s="57"/>
      <c r="M288" s="57"/>
    </row>
    <row r="289">
      <c r="C289" s="57"/>
      <c r="D289" s="57"/>
      <c r="E289" s="57"/>
      <c r="F289" s="57"/>
      <c r="G289" s="57"/>
      <c r="L289" s="57"/>
      <c r="M289" s="57"/>
    </row>
    <row r="290">
      <c r="C290" s="57"/>
      <c r="D290" s="57"/>
      <c r="E290" s="57"/>
      <c r="F290" s="57"/>
      <c r="G290" s="57"/>
      <c r="L290" s="57"/>
      <c r="M290" s="57"/>
    </row>
    <row r="291">
      <c r="C291" s="57"/>
      <c r="D291" s="57"/>
      <c r="E291" s="57"/>
      <c r="F291" s="57"/>
      <c r="G291" s="57"/>
      <c r="L291" s="57"/>
      <c r="M291" s="57"/>
    </row>
    <row r="292">
      <c r="C292" s="57"/>
      <c r="D292" s="57"/>
      <c r="E292" s="57"/>
      <c r="F292" s="57"/>
      <c r="G292" s="57"/>
      <c r="L292" s="57"/>
      <c r="M292" s="57"/>
    </row>
    <row r="293">
      <c r="C293" s="57"/>
      <c r="D293" s="57"/>
      <c r="E293" s="57"/>
      <c r="F293" s="57"/>
      <c r="G293" s="57"/>
      <c r="L293" s="57"/>
      <c r="M293" s="57"/>
    </row>
    <row r="294">
      <c r="C294" s="57"/>
      <c r="D294" s="57"/>
      <c r="E294" s="57"/>
      <c r="F294" s="57"/>
      <c r="G294" s="57"/>
      <c r="L294" s="57"/>
      <c r="M294" s="57"/>
    </row>
    <row r="295">
      <c r="C295" s="57"/>
      <c r="D295" s="57"/>
      <c r="E295" s="57"/>
      <c r="F295" s="57"/>
      <c r="G295" s="57"/>
      <c r="L295" s="57"/>
      <c r="M295" s="57"/>
    </row>
    <row r="296">
      <c r="C296" s="57"/>
      <c r="D296" s="57"/>
      <c r="E296" s="57"/>
      <c r="F296" s="57"/>
      <c r="G296" s="57"/>
      <c r="L296" s="57"/>
      <c r="M296" s="57"/>
    </row>
    <row r="297">
      <c r="C297" s="57"/>
      <c r="D297" s="57"/>
      <c r="E297" s="57"/>
      <c r="F297" s="57"/>
      <c r="G297" s="57"/>
      <c r="L297" s="57"/>
      <c r="M297" s="57"/>
    </row>
    <row r="298">
      <c r="C298" s="57"/>
      <c r="D298" s="57"/>
      <c r="E298" s="57"/>
      <c r="F298" s="57"/>
      <c r="G298" s="57"/>
      <c r="L298" s="57"/>
      <c r="M298" s="57"/>
    </row>
    <row r="299">
      <c r="C299" s="57"/>
      <c r="D299" s="57"/>
      <c r="E299" s="57"/>
      <c r="F299" s="57"/>
      <c r="G299" s="57"/>
      <c r="L299" s="57"/>
      <c r="M299" s="57"/>
    </row>
    <row r="300">
      <c r="C300" s="57"/>
      <c r="D300" s="57"/>
      <c r="E300" s="57"/>
      <c r="F300" s="57"/>
      <c r="G300" s="57"/>
      <c r="L300" s="57"/>
      <c r="M300" s="57"/>
    </row>
    <row r="301">
      <c r="C301" s="57"/>
      <c r="D301" s="57"/>
      <c r="E301" s="57"/>
      <c r="F301" s="57"/>
      <c r="G301" s="57"/>
      <c r="L301" s="57"/>
      <c r="M301" s="57"/>
    </row>
    <row r="302">
      <c r="C302" s="57"/>
      <c r="D302" s="57"/>
      <c r="E302" s="57"/>
      <c r="F302" s="57"/>
      <c r="G302" s="57"/>
      <c r="L302" s="57"/>
      <c r="M302" s="57"/>
    </row>
    <row r="303">
      <c r="C303" s="57"/>
      <c r="D303" s="57"/>
      <c r="E303" s="57"/>
      <c r="F303" s="57"/>
      <c r="G303" s="57"/>
      <c r="L303" s="57"/>
      <c r="M303" s="57"/>
    </row>
    <row r="304">
      <c r="C304" s="57"/>
      <c r="D304" s="57"/>
      <c r="E304" s="57"/>
      <c r="F304" s="57"/>
      <c r="G304" s="57"/>
      <c r="L304" s="57"/>
      <c r="M304" s="57"/>
    </row>
    <row r="305">
      <c r="C305" s="57"/>
      <c r="D305" s="57"/>
      <c r="E305" s="57"/>
      <c r="F305" s="57"/>
      <c r="G305" s="57"/>
      <c r="L305" s="57"/>
      <c r="M305" s="57"/>
    </row>
    <row r="306">
      <c r="C306" s="57"/>
      <c r="D306" s="57"/>
      <c r="E306" s="57"/>
      <c r="F306" s="57"/>
      <c r="G306" s="57"/>
      <c r="L306" s="57"/>
      <c r="M306" s="57"/>
    </row>
    <row r="307">
      <c r="C307" s="57"/>
      <c r="D307" s="57"/>
      <c r="E307" s="57"/>
      <c r="F307" s="57"/>
      <c r="G307" s="57"/>
      <c r="L307" s="57"/>
      <c r="M307" s="57"/>
    </row>
    <row r="308">
      <c r="C308" s="57"/>
      <c r="D308" s="57"/>
      <c r="E308" s="57"/>
      <c r="F308" s="57"/>
      <c r="G308" s="57"/>
      <c r="L308" s="57"/>
      <c r="M308" s="57"/>
    </row>
    <row r="309">
      <c r="C309" s="57"/>
      <c r="D309" s="57"/>
      <c r="E309" s="57"/>
      <c r="F309" s="57"/>
      <c r="G309" s="57"/>
      <c r="L309" s="57"/>
      <c r="M309" s="57"/>
    </row>
    <row r="310">
      <c r="C310" s="57"/>
      <c r="D310" s="57"/>
      <c r="E310" s="57"/>
      <c r="F310" s="57"/>
      <c r="G310" s="57"/>
      <c r="L310" s="57"/>
      <c r="M310" s="57"/>
    </row>
    <row r="311">
      <c r="C311" s="57"/>
      <c r="D311" s="57"/>
      <c r="E311" s="57"/>
      <c r="F311" s="57"/>
      <c r="G311" s="57"/>
      <c r="L311" s="57"/>
      <c r="M311" s="57"/>
    </row>
    <row r="312">
      <c r="C312" s="57"/>
      <c r="D312" s="57"/>
      <c r="E312" s="57"/>
      <c r="F312" s="57"/>
      <c r="G312" s="57"/>
      <c r="L312" s="57"/>
      <c r="M312" s="57"/>
    </row>
    <row r="313">
      <c r="C313" s="57"/>
      <c r="D313" s="57"/>
      <c r="E313" s="57"/>
      <c r="F313" s="57"/>
      <c r="G313" s="57"/>
      <c r="L313" s="57"/>
      <c r="M313" s="57"/>
    </row>
    <row r="314">
      <c r="C314" s="57"/>
      <c r="D314" s="57"/>
      <c r="E314" s="57"/>
      <c r="F314" s="57"/>
      <c r="G314" s="57"/>
      <c r="L314" s="57"/>
      <c r="M314" s="57"/>
    </row>
    <row r="315">
      <c r="C315" s="57"/>
      <c r="D315" s="57"/>
      <c r="E315" s="57"/>
      <c r="F315" s="57"/>
      <c r="G315" s="57"/>
      <c r="L315" s="57"/>
      <c r="M315" s="57"/>
    </row>
    <row r="316">
      <c r="C316" s="57"/>
      <c r="D316" s="57"/>
      <c r="E316" s="57"/>
      <c r="F316" s="57"/>
      <c r="G316" s="57"/>
      <c r="L316" s="57"/>
      <c r="M316" s="57"/>
    </row>
    <row r="317">
      <c r="C317" s="57"/>
      <c r="D317" s="57"/>
      <c r="E317" s="57"/>
      <c r="F317" s="57"/>
      <c r="G317" s="57"/>
      <c r="L317" s="57"/>
      <c r="M317" s="57"/>
    </row>
    <row r="318">
      <c r="C318" s="57"/>
      <c r="D318" s="57"/>
      <c r="E318" s="57"/>
      <c r="F318" s="57"/>
      <c r="G318" s="57"/>
      <c r="L318" s="57"/>
      <c r="M318" s="57"/>
    </row>
    <row r="319">
      <c r="C319" s="57"/>
      <c r="D319" s="57"/>
      <c r="E319" s="57"/>
      <c r="F319" s="57"/>
      <c r="G319" s="57"/>
      <c r="L319" s="57"/>
      <c r="M319" s="57"/>
    </row>
    <row r="320">
      <c r="C320" s="57"/>
      <c r="D320" s="57"/>
      <c r="E320" s="57"/>
      <c r="F320" s="57"/>
      <c r="G320" s="57"/>
      <c r="L320" s="57"/>
      <c r="M320" s="57"/>
    </row>
    <row r="321">
      <c r="C321" s="57"/>
      <c r="D321" s="57"/>
      <c r="E321" s="57"/>
      <c r="F321" s="57"/>
      <c r="G321" s="57"/>
      <c r="L321" s="57"/>
      <c r="M321" s="57"/>
    </row>
    <row r="322">
      <c r="C322" s="57"/>
      <c r="D322" s="57"/>
      <c r="E322" s="57"/>
      <c r="F322" s="57"/>
      <c r="G322" s="57"/>
      <c r="L322" s="57"/>
      <c r="M322" s="57"/>
    </row>
    <row r="323">
      <c r="C323" s="57"/>
      <c r="D323" s="57"/>
      <c r="E323" s="57"/>
      <c r="F323" s="57"/>
      <c r="G323" s="57"/>
      <c r="L323" s="57"/>
      <c r="M323" s="57"/>
    </row>
    <row r="324">
      <c r="C324" s="57"/>
      <c r="D324" s="57"/>
      <c r="E324" s="57"/>
      <c r="F324" s="57"/>
      <c r="G324" s="57"/>
      <c r="L324" s="57"/>
      <c r="M324" s="57"/>
    </row>
    <row r="325">
      <c r="C325" s="57"/>
      <c r="D325" s="57"/>
      <c r="E325" s="57"/>
      <c r="F325" s="57"/>
      <c r="G325" s="57"/>
      <c r="L325" s="57"/>
      <c r="M325" s="57"/>
    </row>
    <row r="326">
      <c r="C326" s="57"/>
      <c r="D326" s="57"/>
      <c r="E326" s="57"/>
      <c r="F326" s="57"/>
      <c r="G326" s="57"/>
      <c r="L326" s="57"/>
      <c r="M326" s="57"/>
    </row>
    <row r="327">
      <c r="C327" s="57"/>
      <c r="D327" s="57"/>
      <c r="E327" s="57"/>
      <c r="F327" s="57"/>
      <c r="G327" s="57"/>
      <c r="L327" s="57"/>
      <c r="M327" s="57"/>
    </row>
    <row r="328">
      <c r="C328" s="57"/>
      <c r="D328" s="57"/>
      <c r="E328" s="57"/>
      <c r="F328" s="57"/>
      <c r="G328" s="57"/>
      <c r="L328" s="57"/>
      <c r="M328" s="57"/>
    </row>
    <row r="329">
      <c r="C329" s="57"/>
      <c r="D329" s="57"/>
      <c r="E329" s="57"/>
      <c r="F329" s="57"/>
      <c r="G329" s="57"/>
      <c r="L329" s="57"/>
      <c r="M329" s="57"/>
    </row>
    <row r="330">
      <c r="C330" s="57"/>
      <c r="D330" s="57"/>
      <c r="E330" s="57"/>
      <c r="F330" s="57"/>
      <c r="G330" s="57"/>
      <c r="L330" s="57"/>
      <c r="M330" s="57"/>
    </row>
    <row r="331">
      <c r="C331" s="57"/>
      <c r="D331" s="57"/>
      <c r="E331" s="57"/>
      <c r="F331" s="57"/>
      <c r="G331" s="57"/>
      <c r="L331" s="57"/>
      <c r="M331" s="57"/>
    </row>
    <row r="332">
      <c r="C332" s="57"/>
      <c r="D332" s="57"/>
      <c r="E332" s="57"/>
      <c r="F332" s="57"/>
      <c r="G332" s="57"/>
      <c r="L332" s="57"/>
      <c r="M332" s="57"/>
    </row>
    <row r="333">
      <c r="C333" s="57"/>
      <c r="D333" s="57"/>
      <c r="E333" s="57"/>
      <c r="F333" s="57"/>
      <c r="G333" s="57"/>
      <c r="L333" s="57"/>
      <c r="M333" s="57"/>
    </row>
    <row r="334">
      <c r="C334" s="57"/>
      <c r="D334" s="57"/>
      <c r="E334" s="57"/>
      <c r="F334" s="57"/>
      <c r="G334" s="57"/>
      <c r="L334" s="57"/>
      <c r="M334" s="57"/>
    </row>
    <row r="335">
      <c r="C335" s="57"/>
      <c r="D335" s="57"/>
      <c r="E335" s="57"/>
      <c r="F335" s="57"/>
      <c r="G335" s="57"/>
      <c r="L335" s="57"/>
      <c r="M335" s="57"/>
    </row>
    <row r="336">
      <c r="C336" s="57"/>
      <c r="D336" s="57"/>
      <c r="E336" s="57"/>
      <c r="F336" s="57"/>
      <c r="G336" s="57"/>
      <c r="L336" s="57"/>
      <c r="M336" s="57"/>
    </row>
    <row r="337">
      <c r="C337" s="57"/>
      <c r="D337" s="57"/>
      <c r="E337" s="57"/>
      <c r="F337" s="57"/>
      <c r="G337" s="57"/>
      <c r="L337" s="57"/>
      <c r="M337" s="57"/>
    </row>
    <row r="338">
      <c r="C338" s="57"/>
      <c r="D338" s="57"/>
      <c r="E338" s="57"/>
      <c r="F338" s="57"/>
      <c r="G338" s="57"/>
      <c r="L338" s="57"/>
      <c r="M338" s="57"/>
    </row>
    <row r="339">
      <c r="C339" s="57"/>
      <c r="D339" s="57"/>
      <c r="E339" s="57"/>
      <c r="F339" s="57"/>
      <c r="G339" s="57"/>
      <c r="L339" s="57"/>
      <c r="M339" s="57"/>
    </row>
    <row r="340">
      <c r="C340" s="57"/>
      <c r="D340" s="57"/>
      <c r="E340" s="57"/>
      <c r="F340" s="57"/>
      <c r="G340" s="57"/>
      <c r="L340" s="57"/>
      <c r="M340" s="57"/>
    </row>
    <row r="341">
      <c r="C341" s="57"/>
      <c r="D341" s="57"/>
      <c r="E341" s="57"/>
      <c r="F341" s="57"/>
      <c r="G341" s="57"/>
      <c r="L341" s="57"/>
      <c r="M341" s="57"/>
    </row>
    <row r="342">
      <c r="C342" s="57"/>
      <c r="D342" s="57"/>
      <c r="E342" s="57"/>
      <c r="F342" s="57"/>
      <c r="G342" s="57"/>
      <c r="L342" s="57"/>
      <c r="M342" s="57"/>
    </row>
    <row r="343">
      <c r="C343" s="57"/>
      <c r="D343" s="57"/>
      <c r="E343" s="57"/>
      <c r="F343" s="57"/>
      <c r="G343" s="57"/>
      <c r="L343" s="57"/>
      <c r="M343" s="57"/>
    </row>
    <row r="344">
      <c r="C344" s="57"/>
      <c r="D344" s="57"/>
      <c r="E344" s="57"/>
      <c r="F344" s="57"/>
      <c r="G344" s="57"/>
      <c r="L344" s="57"/>
      <c r="M344" s="57"/>
    </row>
    <row r="345">
      <c r="C345" s="57"/>
      <c r="D345" s="57"/>
      <c r="E345" s="57"/>
      <c r="F345" s="57"/>
      <c r="G345" s="57"/>
      <c r="L345" s="57"/>
      <c r="M345" s="57"/>
    </row>
    <row r="346">
      <c r="C346" s="57"/>
      <c r="D346" s="57"/>
      <c r="E346" s="57"/>
      <c r="F346" s="57"/>
      <c r="G346" s="57"/>
      <c r="L346" s="57"/>
      <c r="M346" s="57"/>
    </row>
    <row r="347">
      <c r="C347" s="57"/>
      <c r="D347" s="57"/>
      <c r="E347" s="57"/>
      <c r="F347" s="57"/>
      <c r="G347" s="57"/>
      <c r="L347" s="57"/>
      <c r="M347" s="57"/>
    </row>
    <row r="348">
      <c r="C348" s="57"/>
      <c r="D348" s="57"/>
      <c r="E348" s="57"/>
      <c r="F348" s="57"/>
      <c r="G348" s="57"/>
      <c r="L348" s="57"/>
      <c r="M348" s="57"/>
    </row>
    <row r="349">
      <c r="C349" s="57"/>
      <c r="D349" s="57"/>
      <c r="E349" s="57"/>
      <c r="F349" s="57"/>
      <c r="G349" s="57"/>
      <c r="L349" s="57"/>
      <c r="M349" s="57"/>
    </row>
    <row r="350">
      <c r="C350" s="57"/>
      <c r="D350" s="57"/>
      <c r="E350" s="57"/>
      <c r="F350" s="57"/>
      <c r="G350" s="57"/>
      <c r="L350" s="57"/>
      <c r="M350" s="57"/>
    </row>
    <row r="351">
      <c r="C351" s="57"/>
      <c r="D351" s="57"/>
      <c r="E351" s="57"/>
      <c r="F351" s="57"/>
      <c r="G351" s="57"/>
      <c r="L351" s="57"/>
      <c r="M351" s="57"/>
    </row>
    <row r="352">
      <c r="C352" s="57"/>
      <c r="D352" s="57"/>
      <c r="E352" s="57"/>
      <c r="F352" s="57"/>
      <c r="G352" s="57"/>
      <c r="L352" s="57"/>
      <c r="M352" s="57"/>
    </row>
    <row r="353">
      <c r="C353" s="57"/>
      <c r="D353" s="57"/>
      <c r="E353" s="57"/>
      <c r="F353" s="57"/>
      <c r="G353" s="57"/>
      <c r="L353" s="57"/>
      <c r="M353" s="57"/>
    </row>
    <row r="354">
      <c r="C354" s="57"/>
      <c r="D354" s="57"/>
      <c r="E354" s="57"/>
      <c r="F354" s="57"/>
      <c r="G354" s="57"/>
      <c r="L354" s="57"/>
      <c r="M354" s="57"/>
    </row>
    <row r="355">
      <c r="C355" s="57"/>
      <c r="D355" s="57"/>
      <c r="E355" s="57"/>
      <c r="F355" s="57"/>
      <c r="G355" s="57"/>
      <c r="L355" s="57"/>
      <c r="M355" s="57"/>
    </row>
    <row r="356">
      <c r="C356" s="57"/>
      <c r="D356" s="57"/>
      <c r="E356" s="57"/>
      <c r="F356" s="57"/>
      <c r="G356" s="57"/>
      <c r="L356" s="57"/>
      <c r="M356" s="57"/>
    </row>
    <row r="357">
      <c r="C357" s="57"/>
      <c r="D357" s="57"/>
      <c r="E357" s="57"/>
      <c r="F357" s="57"/>
      <c r="G357" s="57"/>
      <c r="L357" s="57"/>
      <c r="M357" s="57"/>
    </row>
    <row r="358">
      <c r="C358" s="57"/>
      <c r="D358" s="57"/>
      <c r="E358" s="57"/>
      <c r="F358" s="57"/>
      <c r="G358" s="57"/>
      <c r="L358" s="57"/>
      <c r="M358" s="57"/>
    </row>
    <row r="359">
      <c r="C359" s="57"/>
      <c r="D359" s="57"/>
      <c r="E359" s="57"/>
      <c r="F359" s="57"/>
      <c r="G359" s="57"/>
      <c r="L359" s="57"/>
      <c r="M359" s="57"/>
    </row>
    <row r="360">
      <c r="C360" s="57"/>
      <c r="D360" s="57"/>
      <c r="E360" s="57"/>
      <c r="F360" s="57"/>
      <c r="G360" s="57"/>
      <c r="L360" s="57"/>
      <c r="M360" s="57"/>
    </row>
    <row r="361">
      <c r="C361" s="57"/>
      <c r="D361" s="57"/>
      <c r="E361" s="57"/>
      <c r="F361" s="57"/>
      <c r="G361" s="57"/>
      <c r="L361" s="57"/>
      <c r="M361" s="57"/>
    </row>
    <row r="362">
      <c r="C362" s="57"/>
      <c r="D362" s="57"/>
      <c r="E362" s="57"/>
      <c r="F362" s="57"/>
      <c r="G362" s="57"/>
      <c r="L362" s="57"/>
      <c r="M362" s="57"/>
    </row>
    <row r="363">
      <c r="C363" s="57"/>
      <c r="D363" s="57"/>
      <c r="E363" s="57"/>
      <c r="F363" s="57"/>
      <c r="G363" s="57"/>
      <c r="L363" s="57"/>
      <c r="M363" s="57"/>
    </row>
    <row r="364">
      <c r="C364" s="57"/>
      <c r="D364" s="57"/>
      <c r="E364" s="57"/>
      <c r="F364" s="57"/>
      <c r="G364" s="57"/>
      <c r="L364" s="57"/>
      <c r="M364" s="57"/>
    </row>
    <row r="365">
      <c r="C365" s="57"/>
      <c r="D365" s="57"/>
      <c r="E365" s="57"/>
      <c r="F365" s="57"/>
      <c r="G365" s="57"/>
      <c r="L365" s="57"/>
      <c r="M365" s="57"/>
    </row>
    <row r="366">
      <c r="C366" s="57"/>
      <c r="D366" s="57"/>
      <c r="E366" s="57"/>
      <c r="F366" s="57"/>
      <c r="G366" s="57"/>
      <c r="L366" s="57"/>
      <c r="M366" s="57"/>
    </row>
    <row r="367">
      <c r="C367" s="57"/>
      <c r="D367" s="57"/>
      <c r="E367" s="57"/>
      <c r="F367" s="57"/>
      <c r="G367" s="57"/>
      <c r="L367" s="57"/>
      <c r="M367" s="57"/>
    </row>
    <row r="368">
      <c r="C368" s="57"/>
      <c r="D368" s="57"/>
      <c r="E368" s="57"/>
      <c r="F368" s="57"/>
      <c r="G368" s="57"/>
      <c r="L368" s="57"/>
      <c r="M368" s="57"/>
    </row>
    <row r="369">
      <c r="C369" s="57"/>
      <c r="D369" s="57"/>
      <c r="E369" s="57"/>
      <c r="F369" s="57"/>
      <c r="G369" s="57"/>
      <c r="L369" s="57"/>
      <c r="M369" s="57"/>
    </row>
    <row r="370">
      <c r="C370" s="57"/>
      <c r="D370" s="57"/>
      <c r="E370" s="57"/>
      <c r="F370" s="57"/>
      <c r="G370" s="57"/>
      <c r="L370" s="57"/>
      <c r="M370" s="57"/>
    </row>
    <row r="371">
      <c r="C371" s="57"/>
      <c r="D371" s="57"/>
      <c r="E371" s="57"/>
      <c r="F371" s="57"/>
      <c r="G371" s="57"/>
      <c r="L371" s="57"/>
      <c r="M371" s="57"/>
    </row>
    <row r="372">
      <c r="C372" s="57"/>
      <c r="D372" s="57"/>
      <c r="E372" s="57"/>
      <c r="F372" s="57"/>
      <c r="G372" s="57"/>
      <c r="L372" s="57"/>
      <c r="M372" s="57"/>
    </row>
    <row r="373">
      <c r="C373" s="57"/>
      <c r="D373" s="57"/>
      <c r="E373" s="57"/>
      <c r="F373" s="57"/>
      <c r="G373" s="57"/>
      <c r="L373" s="57"/>
      <c r="M373" s="57"/>
    </row>
    <row r="374">
      <c r="C374" s="57"/>
      <c r="D374" s="57"/>
      <c r="E374" s="57"/>
      <c r="F374" s="57"/>
      <c r="G374" s="57"/>
      <c r="L374" s="57"/>
      <c r="M374" s="57"/>
    </row>
    <row r="375">
      <c r="C375" s="57"/>
      <c r="D375" s="57"/>
      <c r="E375" s="57"/>
      <c r="F375" s="57"/>
      <c r="G375" s="57"/>
      <c r="L375" s="57"/>
      <c r="M375" s="57"/>
    </row>
    <row r="376">
      <c r="C376" s="57"/>
      <c r="D376" s="57"/>
      <c r="E376" s="57"/>
      <c r="F376" s="57"/>
      <c r="G376" s="57"/>
      <c r="L376" s="57"/>
      <c r="M376" s="57"/>
    </row>
    <row r="377">
      <c r="C377" s="57"/>
      <c r="D377" s="57"/>
      <c r="E377" s="57"/>
      <c r="F377" s="57"/>
      <c r="G377" s="57"/>
      <c r="L377" s="57"/>
      <c r="M377" s="57"/>
    </row>
    <row r="378">
      <c r="C378" s="57"/>
      <c r="D378" s="57"/>
      <c r="E378" s="57"/>
      <c r="F378" s="57"/>
      <c r="G378" s="57"/>
      <c r="L378" s="57"/>
      <c r="M378" s="57"/>
    </row>
    <row r="379">
      <c r="C379" s="57"/>
      <c r="D379" s="57"/>
      <c r="E379" s="57"/>
      <c r="F379" s="57"/>
      <c r="G379" s="57"/>
      <c r="L379" s="57"/>
      <c r="M379" s="57"/>
    </row>
    <row r="380">
      <c r="C380" s="57"/>
      <c r="D380" s="57"/>
      <c r="E380" s="57"/>
      <c r="F380" s="57"/>
      <c r="G380" s="57"/>
      <c r="L380" s="57"/>
      <c r="M380" s="57"/>
    </row>
    <row r="381">
      <c r="C381" s="57"/>
      <c r="D381" s="57"/>
      <c r="E381" s="57"/>
      <c r="F381" s="57"/>
      <c r="G381" s="57"/>
      <c r="L381" s="57"/>
      <c r="M381" s="57"/>
    </row>
    <row r="382">
      <c r="C382" s="57"/>
      <c r="D382" s="57"/>
      <c r="E382" s="57"/>
      <c r="F382" s="57"/>
      <c r="G382" s="57"/>
      <c r="L382" s="57"/>
      <c r="M382" s="57"/>
    </row>
    <row r="383">
      <c r="C383" s="57"/>
      <c r="D383" s="57"/>
      <c r="E383" s="57"/>
      <c r="F383" s="57"/>
      <c r="G383" s="57"/>
      <c r="L383" s="57"/>
      <c r="M383" s="57"/>
    </row>
    <row r="384">
      <c r="C384" s="57"/>
      <c r="D384" s="57"/>
      <c r="E384" s="57"/>
      <c r="F384" s="57"/>
      <c r="G384" s="57"/>
      <c r="L384" s="57"/>
      <c r="M384" s="57"/>
    </row>
    <row r="385">
      <c r="C385" s="57"/>
      <c r="D385" s="57"/>
      <c r="E385" s="57"/>
      <c r="F385" s="57"/>
      <c r="G385" s="57"/>
      <c r="L385" s="57"/>
      <c r="M385" s="57"/>
    </row>
    <row r="386">
      <c r="C386" s="57"/>
      <c r="D386" s="57"/>
      <c r="E386" s="57"/>
      <c r="F386" s="57"/>
      <c r="G386" s="57"/>
      <c r="L386" s="57"/>
      <c r="M386" s="57"/>
    </row>
    <row r="387">
      <c r="C387" s="57"/>
      <c r="D387" s="57"/>
      <c r="E387" s="57"/>
      <c r="F387" s="57"/>
      <c r="G387" s="57"/>
      <c r="L387" s="57"/>
      <c r="M387" s="57"/>
    </row>
    <row r="388">
      <c r="C388" s="57"/>
      <c r="D388" s="57"/>
      <c r="E388" s="57"/>
      <c r="F388" s="57"/>
      <c r="G388" s="57"/>
      <c r="L388" s="57"/>
      <c r="M388" s="57"/>
    </row>
    <row r="389">
      <c r="C389" s="57"/>
      <c r="D389" s="57"/>
      <c r="E389" s="57"/>
      <c r="F389" s="57"/>
      <c r="G389" s="57"/>
      <c r="L389" s="57"/>
      <c r="M389" s="57"/>
    </row>
    <row r="390">
      <c r="C390" s="57"/>
      <c r="D390" s="57"/>
      <c r="E390" s="57"/>
      <c r="F390" s="57"/>
      <c r="G390" s="57"/>
      <c r="L390" s="57"/>
      <c r="M390" s="57"/>
    </row>
    <row r="391">
      <c r="C391" s="57"/>
      <c r="D391" s="57"/>
      <c r="E391" s="57"/>
      <c r="F391" s="57"/>
      <c r="G391" s="57"/>
      <c r="L391" s="57"/>
      <c r="M391" s="57"/>
    </row>
    <row r="392">
      <c r="C392" s="57"/>
      <c r="D392" s="57"/>
      <c r="E392" s="57"/>
      <c r="F392" s="57"/>
      <c r="G392" s="57"/>
      <c r="L392" s="57"/>
      <c r="M392" s="57"/>
    </row>
    <row r="393">
      <c r="C393" s="57"/>
      <c r="D393" s="57"/>
      <c r="E393" s="57"/>
      <c r="F393" s="57"/>
      <c r="G393" s="57"/>
      <c r="L393" s="57"/>
      <c r="M393" s="57"/>
    </row>
    <row r="394">
      <c r="C394" s="57"/>
      <c r="D394" s="57"/>
      <c r="E394" s="57"/>
      <c r="F394" s="57"/>
      <c r="G394" s="57"/>
      <c r="L394" s="57"/>
      <c r="M394" s="57"/>
    </row>
    <row r="395">
      <c r="C395" s="57"/>
      <c r="D395" s="57"/>
      <c r="E395" s="57"/>
      <c r="F395" s="57"/>
      <c r="G395" s="57"/>
      <c r="L395" s="57"/>
      <c r="M395" s="57"/>
    </row>
    <row r="396">
      <c r="C396" s="57"/>
      <c r="D396" s="57"/>
      <c r="E396" s="57"/>
      <c r="F396" s="57"/>
      <c r="G396" s="57"/>
      <c r="L396" s="57"/>
      <c r="M396" s="57"/>
    </row>
    <row r="397">
      <c r="C397" s="57"/>
      <c r="D397" s="57"/>
      <c r="E397" s="57"/>
      <c r="F397" s="57"/>
      <c r="G397" s="57"/>
      <c r="L397" s="57"/>
      <c r="M397" s="57"/>
    </row>
    <row r="398">
      <c r="C398" s="57"/>
      <c r="D398" s="57"/>
      <c r="E398" s="57"/>
      <c r="F398" s="57"/>
      <c r="G398" s="57"/>
      <c r="L398" s="57"/>
      <c r="M398" s="57"/>
    </row>
    <row r="399">
      <c r="C399" s="57"/>
      <c r="D399" s="57"/>
      <c r="E399" s="57"/>
      <c r="F399" s="57"/>
      <c r="G399" s="57"/>
      <c r="L399" s="57"/>
      <c r="M399" s="57"/>
    </row>
    <row r="400">
      <c r="C400" s="57"/>
      <c r="D400" s="57"/>
      <c r="E400" s="57"/>
      <c r="F400" s="57"/>
      <c r="G400" s="57"/>
      <c r="L400" s="57"/>
      <c r="M400" s="57"/>
    </row>
    <row r="401">
      <c r="C401" s="57"/>
      <c r="D401" s="57"/>
      <c r="E401" s="57"/>
      <c r="F401" s="57"/>
      <c r="G401" s="57"/>
      <c r="L401" s="57"/>
      <c r="M401" s="57"/>
    </row>
    <row r="402">
      <c r="C402" s="57"/>
      <c r="D402" s="57"/>
      <c r="E402" s="57"/>
      <c r="F402" s="57"/>
      <c r="G402" s="57"/>
      <c r="L402" s="57"/>
      <c r="M402" s="57"/>
    </row>
    <row r="403">
      <c r="C403" s="57"/>
      <c r="D403" s="57"/>
      <c r="E403" s="57"/>
      <c r="F403" s="57"/>
      <c r="G403" s="57"/>
      <c r="L403" s="57"/>
      <c r="M403" s="57"/>
    </row>
    <row r="404">
      <c r="C404" s="57"/>
      <c r="D404" s="57"/>
      <c r="E404" s="57"/>
      <c r="F404" s="57"/>
      <c r="G404" s="57"/>
      <c r="L404" s="57"/>
      <c r="M404" s="57"/>
    </row>
    <row r="405">
      <c r="C405" s="57"/>
      <c r="D405" s="57"/>
      <c r="E405" s="57"/>
      <c r="F405" s="57"/>
      <c r="G405" s="57"/>
      <c r="L405" s="57"/>
      <c r="M405" s="57"/>
    </row>
    <row r="406">
      <c r="C406" s="57"/>
      <c r="D406" s="57"/>
      <c r="E406" s="57"/>
      <c r="F406" s="57"/>
      <c r="G406" s="57"/>
      <c r="L406" s="57"/>
      <c r="M406" s="57"/>
    </row>
    <row r="407">
      <c r="C407" s="57"/>
      <c r="D407" s="57"/>
      <c r="E407" s="57"/>
      <c r="F407" s="57"/>
      <c r="G407" s="57"/>
      <c r="L407" s="57"/>
      <c r="M407" s="57"/>
    </row>
    <row r="408">
      <c r="C408" s="57"/>
      <c r="D408" s="57"/>
      <c r="E408" s="57"/>
      <c r="F408" s="57"/>
      <c r="G408" s="57"/>
      <c r="L408" s="57"/>
      <c r="M408" s="57"/>
    </row>
    <row r="409">
      <c r="C409" s="57"/>
      <c r="D409" s="57"/>
      <c r="E409" s="57"/>
      <c r="F409" s="57"/>
      <c r="G409" s="57"/>
      <c r="L409" s="57"/>
      <c r="M409" s="57"/>
    </row>
    <row r="410">
      <c r="C410" s="57"/>
      <c r="D410" s="57"/>
      <c r="E410" s="57"/>
      <c r="F410" s="57"/>
      <c r="G410" s="57"/>
      <c r="L410" s="57"/>
      <c r="M410" s="57"/>
    </row>
    <row r="411">
      <c r="C411" s="57"/>
      <c r="D411" s="57"/>
      <c r="E411" s="57"/>
      <c r="F411" s="57"/>
      <c r="G411" s="57"/>
      <c r="L411" s="57"/>
      <c r="M411" s="57"/>
    </row>
    <row r="412">
      <c r="C412" s="57"/>
      <c r="D412" s="57"/>
      <c r="E412" s="57"/>
      <c r="F412" s="57"/>
      <c r="G412" s="57"/>
      <c r="L412" s="57"/>
      <c r="M412" s="57"/>
    </row>
    <row r="413">
      <c r="C413" s="57"/>
      <c r="D413" s="57"/>
      <c r="E413" s="57"/>
      <c r="F413" s="57"/>
      <c r="G413" s="57"/>
      <c r="L413" s="57"/>
      <c r="M413" s="57"/>
    </row>
    <row r="414">
      <c r="C414" s="57"/>
      <c r="D414" s="57"/>
      <c r="E414" s="57"/>
      <c r="F414" s="57"/>
      <c r="G414" s="57"/>
      <c r="L414" s="57"/>
      <c r="M414" s="57"/>
    </row>
    <row r="415">
      <c r="C415" s="57"/>
      <c r="D415" s="57"/>
      <c r="E415" s="57"/>
      <c r="F415" s="57"/>
      <c r="G415" s="57"/>
      <c r="L415" s="57"/>
      <c r="M415" s="57"/>
    </row>
    <row r="416">
      <c r="C416" s="57"/>
      <c r="D416" s="57"/>
      <c r="E416" s="57"/>
      <c r="F416" s="57"/>
      <c r="G416" s="57"/>
      <c r="L416" s="57"/>
      <c r="M416" s="57"/>
    </row>
    <row r="417">
      <c r="C417" s="57"/>
      <c r="D417" s="57"/>
      <c r="E417" s="57"/>
      <c r="F417" s="57"/>
      <c r="G417" s="57"/>
      <c r="L417" s="57"/>
      <c r="M417" s="57"/>
    </row>
    <row r="418">
      <c r="C418" s="57"/>
      <c r="D418" s="57"/>
      <c r="E418" s="57"/>
      <c r="F418" s="57"/>
      <c r="G418" s="57"/>
      <c r="L418" s="57"/>
      <c r="M418" s="57"/>
    </row>
    <row r="419">
      <c r="C419" s="57"/>
      <c r="D419" s="57"/>
      <c r="E419" s="57"/>
      <c r="F419" s="57"/>
      <c r="G419" s="57"/>
      <c r="L419" s="57"/>
      <c r="M419" s="57"/>
    </row>
    <row r="420">
      <c r="C420" s="57"/>
      <c r="D420" s="57"/>
      <c r="E420" s="57"/>
      <c r="F420" s="57"/>
      <c r="G420" s="57"/>
      <c r="L420" s="57"/>
      <c r="M420" s="57"/>
    </row>
    <row r="421">
      <c r="C421" s="57"/>
      <c r="D421" s="57"/>
      <c r="E421" s="57"/>
      <c r="F421" s="57"/>
      <c r="G421" s="57"/>
      <c r="L421" s="57"/>
      <c r="M421" s="57"/>
    </row>
    <row r="422">
      <c r="C422" s="57"/>
      <c r="D422" s="57"/>
      <c r="E422" s="57"/>
      <c r="F422" s="57"/>
      <c r="G422" s="57"/>
      <c r="L422" s="57"/>
      <c r="M422" s="57"/>
    </row>
    <row r="423">
      <c r="C423" s="57"/>
      <c r="D423" s="57"/>
      <c r="E423" s="57"/>
      <c r="F423" s="57"/>
      <c r="G423" s="57"/>
      <c r="L423" s="57"/>
      <c r="M423" s="57"/>
    </row>
    <row r="424">
      <c r="C424" s="57"/>
      <c r="D424" s="57"/>
      <c r="E424" s="57"/>
      <c r="F424" s="57"/>
      <c r="G424" s="57"/>
      <c r="L424" s="57"/>
      <c r="M424" s="57"/>
    </row>
    <row r="425">
      <c r="C425" s="57"/>
      <c r="D425" s="57"/>
      <c r="E425" s="57"/>
      <c r="F425" s="57"/>
      <c r="G425" s="57"/>
      <c r="L425" s="57"/>
      <c r="M425" s="57"/>
    </row>
    <row r="426">
      <c r="C426" s="57"/>
      <c r="D426" s="57"/>
      <c r="E426" s="57"/>
      <c r="F426" s="57"/>
      <c r="G426" s="57"/>
      <c r="L426" s="57"/>
      <c r="M426" s="57"/>
    </row>
    <row r="427">
      <c r="C427" s="57"/>
      <c r="D427" s="57"/>
      <c r="E427" s="57"/>
      <c r="F427" s="57"/>
      <c r="G427" s="57"/>
      <c r="L427" s="57"/>
      <c r="M427" s="57"/>
    </row>
    <row r="428">
      <c r="C428" s="57"/>
      <c r="D428" s="57"/>
      <c r="E428" s="57"/>
      <c r="F428" s="57"/>
      <c r="G428" s="57"/>
      <c r="L428" s="57"/>
      <c r="M428" s="57"/>
    </row>
    <row r="429">
      <c r="C429" s="57"/>
      <c r="D429" s="57"/>
      <c r="E429" s="57"/>
      <c r="F429" s="57"/>
      <c r="G429" s="57"/>
      <c r="L429" s="57"/>
      <c r="M429" s="57"/>
    </row>
    <row r="430">
      <c r="C430" s="57"/>
      <c r="D430" s="57"/>
      <c r="E430" s="57"/>
      <c r="F430" s="57"/>
      <c r="G430" s="57"/>
      <c r="L430" s="57"/>
      <c r="M430" s="57"/>
    </row>
    <row r="431">
      <c r="C431" s="57"/>
      <c r="D431" s="57"/>
      <c r="E431" s="57"/>
      <c r="F431" s="57"/>
      <c r="G431" s="57"/>
      <c r="L431" s="57"/>
      <c r="M431" s="57"/>
    </row>
    <row r="432">
      <c r="C432" s="57"/>
      <c r="D432" s="57"/>
      <c r="E432" s="57"/>
      <c r="F432" s="57"/>
      <c r="G432" s="57"/>
      <c r="L432" s="57"/>
      <c r="M432" s="57"/>
    </row>
    <row r="433">
      <c r="C433" s="57"/>
      <c r="D433" s="57"/>
      <c r="E433" s="57"/>
      <c r="F433" s="57"/>
      <c r="G433" s="57"/>
      <c r="L433" s="57"/>
      <c r="M433" s="57"/>
    </row>
    <row r="434">
      <c r="C434" s="57"/>
      <c r="D434" s="57"/>
      <c r="E434" s="57"/>
      <c r="F434" s="57"/>
      <c r="G434" s="57"/>
      <c r="L434" s="57"/>
      <c r="M434" s="57"/>
    </row>
    <row r="435">
      <c r="C435" s="57"/>
      <c r="D435" s="57"/>
      <c r="E435" s="57"/>
      <c r="F435" s="57"/>
      <c r="G435" s="57"/>
      <c r="L435" s="57"/>
      <c r="M435" s="57"/>
    </row>
    <row r="436">
      <c r="C436" s="57"/>
      <c r="D436" s="57"/>
      <c r="E436" s="57"/>
      <c r="F436" s="57"/>
      <c r="G436" s="57"/>
      <c r="L436" s="57"/>
      <c r="M436" s="57"/>
    </row>
    <row r="437">
      <c r="C437" s="57"/>
      <c r="D437" s="57"/>
      <c r="E437" s="57"/>
      <c r="F437" s="57"/>
      <c r="G437" s="57"/>
      <c r="L437" s="57"/>
      <c r="M437" s="57"/>
    </row>
    <row r="438">
      <c r="C438" s="57"/>
      <c r="D438" s="57"/>
      <c r="E438" s="57"/>
      <c r="F438" s="57"/>
      <c r="G438" s="57"/>
      <c r="L438" s="57"/>
      <c r="M438" s="57"/>
    </row>
    <row r="439">
      <c r="C439" s="57"/>
      <c r="D439" s="57"/>
      <c r="E439" s="57"/>
      <c r="F439" s="57"/>
      <c r="G439" s="57"/>
      <c r="L439" s="57"/>
      <c r="M439" s="57"/>
    </row>
    <row r="440">
      <c r="C440" s="57"/>
      <c r="D440" s="57"/>
      <c r="E440" s="57"/>
      <c r="F440" s="57"/>
      <c r="G440" s="57"/>
      <c r="L440" s="57"/>
      <c r="M440" s="57"/>
    </row>
    <row r="441">
      <c r="C441" s="57"/>
      <c r="D441" s="57"/>
      <c r="E441" s="57"/>
      <c r="F441" s="57"/>
      <c r="G441" s="57"/>
      <c r="L441" s="57"/>
      <c r="M441" s="57"/>
    </row>
    <row r="442">
      <c r="C442" s="57"/>
      <c r="D442" s="57"/>
      <c r="E442" s="57"/>
      <c r="F442" s="57"/>
      <c r="G442" s="57"/>
      <c r="L442" s="57"/>
      <c r="M442" s="57"/>
    </row>
    <row r="443">
      <c r="C443" s="57"/>
      <c r="D443" s="57"/>
      <c r="E443" s="57"/>
      <c r="F443" s="57"/>
      <c r="G443" s="57"/>
      <c r="L443" s="57"/>
      <c r="M443" s="57"/>
    </row>
    <row r="444">
      <c r="C444" s="57"/>
      <c r="D444" s="57"/>
      <c r="E444" s="57"/>
      <c r="F444" s="57"/>
      <c r="G444" s="57"/>
      <c r="L444" s="57"/>
      <c r="M444" s="57"/>
    </row>
    <row r="445">
      <c r="C445" s="57"/>
      <c r="D445" s="57"/>
      <c r="E445" s="57"/>
      <c r="F445" s="57"/>
      <c r="G445" s="57"/>
      <c r="L445" s="57"/>
      <c r="M445" s="57"/>
    </row>
    <row r="446">
      <c r="C446" s="57"/>
      <c r="D446" s="57"/>
      <c r="E446" s="57"/>
      <c r="F446" s="57"/>
      <c r="G446" s="57"/>
      <c r="L446" s="57"/>
      <c r="M446" s="57"/>
    </row>
    <row r="447">
      <c r="C447" s="57"/>
      <c r="D447" s="57"/>
      <c r="E447" s="57"/>
      <c r="F447" s="57"/>
      <c r="G447" s="57"/>
      <c r="L447" s="57"/>
      <c r="M447" s="57"/>
    </row>
    <row r="448">
      <c r="C448" s="57"/>
      <c r="D448" s="57"/>
      <c r="E448" s="57"/>
      <c r="F448" s="57"/>
      <c r="G448" s="57"/>
      <c r="L448" s="57"/>
      <c r="M448" s="57"/>
    </row>
    <row r="449">
      <c r="C449" s="57"/>
      <c r="D449" s="57"/>
      <c r="E449" s="57"/>
      <c r="F449" s="57"/>
      <c r="G449" s="57"/>
      <c r="L449" s="57"/>
      <c r="M449" s="57"/>
    </row>
    <row r="450">
      <c r="C450" s="57"/>
      <c r="D450" s="57"/>
      <c r="E450" s="57"/>
      <c r="F450" s="57"/>
      <c r="G450" s="57"/>
      <c r="L450" s="57"/>
      <c r="M450" s="57"/>
    </row>
    <row r="451">
      <c r="C451" s="57"/>
      <c r="D451" s="57"/>
      <c r="E451" s="57"/>
      <c r="F451" s="57"/>
      <c r="G451" s="57"/>
      <c r="L451" s="57"/>
      <c r="M451" s="57"/>
    </row>
    <row r="452">
      <c r="C452" s="57"/>
      <c r="D452" s="57"/>
      <c r="E452" s="57"/>
      <c r="F452" s="57"/>
      <c r="G452" s="57"/>
      <c r="L452" s="57"/>
      <c r="M452" s="57"/>
    </row>
    <row r="453">
      <c r="C453" s="57"/>
      <c r="D453" s="57"/>
      <c r="E453" s="57"/>
      <c r="F453" s="57"/>
      <c r="G453" s="57"/>
      <c r="L453" s="57"/>
      <c r="M453" s="57"/>
    </row>
    <row r="454">
      <c r="C454" s="57"/>
      <c r="D454" s="57"/>
      <c r="E454" s="57"/>
      <c r="F454" s="57"/>
      <c r="G454" s="57"/>
      <c r="L454" s="57"/>
      <c r="M454" s="57"/>
    </row>
    <row r="455">
      <c r="C455" s="57"/>
      <c r="D455" s="57"/>
      <c r="E455" s="57"/>
      <c r="F455" s="57"/>
      <c r="G455" s="57"/>
      <c r="L455" s="57"/>
      <c r="M455" s="57"/>
    </row>
    <row r="456">
      <c r="C456" s="57"/>
      <c r="D456" s="57"/>
      <c r="E456" s="57"/>
      <c r="F456" s="57"/>
      <c r="G456" s="57"/>
      <c r="L456" s="57"/>
      <c r="M456" s="57"/>
    </row>
    <row r="457">
      <c r="C457" s="57"/>
      <c r="D457" s="57"/>
      <c r="E457" s="57"/>
      <c r="F457" s="57"/>
      <c r="G457" s="57"/>
      <c r="L457" s="57"/>
      <c r="M457" s="57"/>
    </row>
    <row r="458">
      <c r="C458" s="57"/>
      <c r="D458" s="57"/>
      <c r="E458" s="57"/>
      <c r="F458" s="57"/>
      <c r="G458" s="57"/>
      <c r="L458" s="57"/>
      <c r="M458" s="57"/>
    </row>
    <row r="459">
      <c r="C459" s="57"/>
      <c r="D459" s="57"/>
      <c r="E459" s="57"/>
      <c r="F459" s="57"/>
      <c r="G459" s="57"/>
      <c r="L459" s="57"/>
      <c r="M459" s="57"/>
    </row>
    <row r="460">
      <c r="C460" s="57"/>
      <c r="D460" s="57"/>
      <c r="E460" s="57"/>
      <c r="F460" s="57"/>
      <c r="G460" s="57"/>
      <c r="L460" s="57"/>
      <c r="M460" s="57"/>
    </row>
    <row r="461">
      <c r="C461" s="57"/>
      <c r="D461" s="57"/>
      <c r="E461" s="57"/>
      <c r="F461" s="57"/>
      <c r="G461" s="57"/>
      <c r="L461" s="57"/>
      <c r="M461" s="57"/>
    </row>
    <row r="462">
      <c r="C462" s="57"/>
      <c r="D462" s="57"/>
      <c r="E462" s="57"/>
      <c r="F462" s="57"/>
      <c r="G462" s="57"/>
      <c r="L462" s="57"/>
      <c r="M462" s="57"/>
    </row>
    <row r="463">
      <c r="C463" s="57"/>
      <c r="D463" s="57"/>
      <c r="E463" s="57"/>
      <c r="F463" s="57"/>
      <c r="G463" s="57"/>
      <c r="L463" s="57"/>
      <c r="M463" s="57"/>
    </row>
    <row r="464">
      <c r="C464" s="57"/>
      <c r="D464" s="57"/>
      <c r="E464" s="57"/>
      <c r="F464" s="57"/>
      <c r="G464" s="57"/>
      <c r="L464" s="57"/>
      <c r="M464" s="57"/>
    </row>
    <row r="465">
      <c r="C465" s="57"/>
      <c r="D465" s="57"/>
      <c r="E465" s="57"/>
      <c r="F465" s="57"/>
      <c r="G465" s="57"/>
      <c r="L465" s="57"/>
      <c r="M465" s="57"/>
    </row>
    <row r="466">
      <c r="C466" s="57"/>
      <c r="D466" s="57"/>
      <c r="E466" s="57"/>
      <c r="F466" s="57"/>
      <c r="G466" s="57"/>
      <c r="L466" s="57"/>
      <c r="M466" s="57"/>
    </row>
    <row r="467">
      <c r="C467" s="57"/>
      <c r="D467" s="57"/>
      <c r="E467" s="57"/>
      <c r="F467" s="57"/>
      <c r="G467" s="57"/>
      <c r="L467" s="57"/>
      <c r="M467" s="57"/>
    </row>
    <row r="468">
      <c r="C468" s="57"/>
      <c r="D468" s="57"/>
      <c r="E468" s="57"/>
      <c r="F468" s="57"/>
      <c r="G468" s="57"/>
      <c r="L468" s="57"/>
      <c r="M468" s="57"/>
    </row>
    <row r="469">
      <c r="C469" s="57"/>
      <c r="D469" s="57"/>
      <c r="E469" s="57"/>
      <c r="F469" s="57"/>
      <c r="G469" s="57"/>
      <c r="L469" s="57"/>
      <c r="M469" s="57"/>
    </row>
    <row r="470">
      <c r="C470" s="57"/>
      <c r="D470" s="57"/>
      <c r="E470" s="57"/>
      <c r="F470" s="57"/>
      <c r="G470" s="57"/>
      <c r="L470" s="57"/>
      <c r="M470" s="57"/>
    </row>
    <row r="471">
      <c r="C471" s="57"/>
      <c r="D471" s="57"/>
      <c r="E471" s="57"/>
      <c r="F471" s="57"/>
      <c r="G471" s="57"/>
      <c r="L471" s="57"/>
      <c r="M471" s="57"/>
    </row>
    <row r="472">
      <c r="C472" s="57"/>
      <c r="D472" s="57"/>
      <c r="E472" s="57"/>
      <c r="F472" s="57"/>
      <c r="G472" s="57"/>
      <c r="L472" s="57"/>
      <c r="M472" s="57"/>
    </row>
    <row r="473">
      <c r="C473" s="57"/>
      <c r="D473" s="57"/>
      <c r="E473" s="57"/>
      <c r="F473" s="57"/>
      <c r="G473" s="57"/>
      <c r="L473" s="57"/>
      <c r="M473" s="57"/>
    </row>
    <row r="474">
      <c r="C474" s="57"/>
      <c r="D474" s="57"/>
      <c r="E474" s="57"/>
      <c r="F474" s="57"/>
      <c r="G474" s="57"/>
      <c r="L474" s="57"/>
      <c r="M474" s="57"/>
    </row>
    <row r="475">
      <c r="C475" s="57"/>
      <c r="D475" s="57"/>
      <c r="E475" s="57"/>
      <c r="F475" s="57"/>
      <c r="G475" s="57"/>
      <c r="L475" s="57"/>
      <c r="M475" s="57"/>
    </row>
    <row r="476">
      <c r="C476" s="57"/>
      <c r="D476" s="57"/>
      <c r="E476" s="57"/>
      <c r="F476" s="57"/>
      <c r="G476" s="57"/>
      <c r="L476" s="57"/>
      <c r="M476" s="57"/>
    </row>
    <row r="477">
      <c r="C477" s="57"/>
      <c r="D477" s="57"/>
      <c r="E477" s="57"/>
      <c r="F477" s="57"/>
      <c r="G477" s="57"/>
      <c r="L477" s="57"/>
      <c r="M477" s="57"/>
    </row>
    <row r="478">
      <c r="C478" s="57"/>
      <c r="D478" s="57"/>
      <c r="E478" s="57"/>
      <c r="F478" s="57"/>
      <c r="G478" s="57"/>
      <c r="L478" s="57"/>
      <c r="M478" s="57"/>
    </row>
    <row r="479">
      <c r="C479" s="57"/>
      <c r="D479" s="57"/>
      <c r="E479" s="57"/>
      <c r="F479" s="57"/>
      <c r="G479" s="57"/>
      <c r="L479" s="57"/>
      <c r="M479" s="57"/>
    </row>
    <row r="480">
      <c r="C480" s="57"/>
      <c r="D480" s="57"/>
      <c r="E480" s="57"/>
      <c r="F480" s="57"/>
      <c r="G480" s="57"/>
      <c r="L480" s="57"/>
      <c r="M480" s="57"/>
    </row>
    <row r="481">
      <c r="C481" s="57"/>
      <c r="D481" s="57"/>
      <c r="E481" s="57"/>
      <c r="F481" s="57"/>
      <c r="G481" s="57"/>
      <c r="L481" s="57"/>
      <c r="M481" s="57"/>
    </row>
    <row r="482">
      <c r="C482" s="57"/>
      <c r="D482" s="57"/>
      <c r="E482" s="57"/>
      <c r="F482" s="57"/>
      <c r="G482" s="57"/>
      <c r="L482" s="57"/>
      <c r="M482" s="57"/>
    </row>
    <row r="483">
      <c r="C483" s="57"/>
      <c r="D483" s="57"/>
      <c r="E483" s="57"/>
      <c r="F483" s="57"/>
      <c r="G483" s="57"/>
      <c r="L483" s="57"/>
      <c r="M483" s="57"/>
    </row>
    <row r="484">
      <c r="C484" s="57"/>
      <c r="D484" s="57"/>
      <c r="E484" s="57"/>
      <c r="F484" s="57"/>
      <c r="G484" s="57"/>
      <c r="L484" s="57"/>
      <c r="M484" s="57"/>
    </row>
    <row r="485">
      <c r="C485" s="57"/>
      <c r="D485" s="57"/>
      <c r="E485" s="57"/>
      <c r="F485" s="57"/>
      <c r="G485" s="57"/>
      <c r="L485" s="57"/>
      <c r="M485" s="57"/>
    </row>
    <row r="486">
      <c r="C486" s="57"/>
      <c r="D486" s="57"/>
      <c r="E486" s="57"/>
      <c r="F486" s="57"/>
      <c r="G486" s="57"/>
      <c r="L486" s="57"/>
      <c r="M486" s="57"/>
    </row>
    <row r="487">
      <c r="C487" s="57"/>
      <c r="D487" s="57"/>
      <c r="E487" s="57"/>
      <c r="F487" s="57"/>
      <c r="G487" s="57"/>
      <c r="L487" s="57"/>
      <c r="M487" s="57"/>
    </row>
    <row r="488">
      <c r="C488" s="57"/>
      <c r="D488" s="57"/>
      <c r="E488" s="57"/>
      <c r="F488" s="57"/>
      <c r="G488" s="57"/>
      <c r="L488" s="57"/>
      <c r="M488" s="57"/>
    </row>
    <row r="489">
      <c r="C489" s="57"/>
      <c r="D489" s="57"/>
      <c r="E489" s="57"/>
      <c r="F489" s="57"/>
      <c r="G489" s="57"/>
      <c r="L489" s="57"/>
      <c r="M489" s="57"/>
    </row>
    <row r="490">
      <c r="C490" s="57"/>
      <c r="D490" s="57"/>
      <c r="E490" s="57"/>
      <c r="F490" s="57"/>
      <c r="G490" s="57"/>
      <c r="L490" s="57"/>
      <c r="M490" s="57"/>
    </row>
    <row r="491">
      <c r="C491" s="57"/>
      <c r="D491" s="57"/>
      <c r="E491" s="57"/>
      <c r="F491" s="57"/>
      <c r="G491" s="57"/>
      <c r="L491" s="57"/>
      <c r="M491" s="57"/>
    </row>
    <row r="492">
      <c r="C492" s="57"/>
      <c r="D492" s="57"/>
      <c r="E492" s="57"/>
      <c r="F492" s="57"/>
      <c r="G492" s="57"/>
      <c r="L492" s="57"/>
      <c r="M492" s="57"/>
    </row>
    <row r="493">
      <c r="C493" s="57"/>
      <c r="D493" s="57"/>
      <c r="E493" s="57"/>
      <c r="F493" s="57"/>
      <c r="G493" s="57"/>
      <c r="L493" s="57"/>
      <c r="M493" s="57"/>
    </row>
    <row r="494">
      <c r="C494" s="57"/>
      <c r="D494" s="57"/>
      <c r="E494" s="57"/>
      <c r="F494" s="57"/>
      <c r="G494" s="57"/>
      <c r="L494" s="57"/>
      <c r="M494" s="57"/>
    </row>
    <row r="495">
      <c r="C495" s="57"/>
      <c r="D495" s="57"/>
      <c r="E495" s="57"/>
      <c r="F495" s="57"/>
      <c r="G495" s="57"/>
      <c r="L495" s="57"/>
      <c r="M495" s="57"/>
    </row>
    <row r="496">
      <c r="C496" s="57"/>
      <c r="D496" s="57"/>
      <c r="E496" s="57"/>
      <c r="F496" s="57"/>
      <c r="G496" s="57"/>
      <c r="L496" s="57"/>
      <c r="M496" s="57"/>
    </row>
    <row r="497">
      <c r="C497" s="57"/>
      <c r="D497" s="57"/>
      <c r="E497" s="57"/>
      <c r="F497" s="57"/>
      <c r="G497" s="57"/>
      <c r="L497" s="57"/>
      <c r="M497" s="57"/>
    </row>
    <row r="498">
      <c r="C498" s="57"/>
      <c r="D498" s="57"/>
      <c r="E498" s="57"/>
      <c r="F498" s="57"/>
      <c r="G498" s="57"/>
      <c r="L498" s="57"/>
      <c r="M498" s="57"/>
    </row>
    <row r="499">
      <c r="C499" s="57"/>
      <c r="D499" s="57"/>
      <c r="E499" s="57"/>
      <c r="F499" s="57"/>
      <c r="G499" s="57"/>
      <c r="L499" s="57"/>
      <c r="M499" s="57"/>
    </row>
    <row r="500">
      <c r="C500" s="57"/>
      <c r="D500" s="57"/>
      <c r="E500" s="57"/>
      <c r="F500" s="57"/>
      <c r="G500" s="57"/>
      <c r="L500" s="57"/>
      <c r="M500" s="57"/>
    </row>
    <row r="501">
      <c r="C501" s="57"/>
      <c r="D501" s="57"/>
      <c r="E501" s="57"/>
      <c r="F501" s="57"/>
      <c r="G501" s="57"/>
      <c r="L501" s="57"/>
      <c r="M501" s="57"/>
    </row>
    <row r="502">
      <c r="C502" s="57"/>
      <c r="D502" s="57"/>
      <c r="E502" s="57"/>
      <c r="F502" s="57"/>
      <c r="G502" s="57"/>
      <c r="L502" s="57"/>
      <c r="M502" s="57"/>
    </row>
    <row r="503">
      <c r="C503" s="57"/>
      <c r="D503" s="57"/>
      <c r="E503" s="57"/>
      <c r="F503" s="57"/>
      <c r="G503" s="57"/>
      <c r="L503" s="57"/>
      <c r="M503" s="57"/>
    </row>
    <row r="504">
      <c r="C504" s="57"/>
      <c r="D504" s="57"/>
      <c r="E504" s="57"/>
      <c r="F504" s="57"/>
      <c r="G504" s="57"/>
      <c r="L504" s="57"/>
      <c r="M504" s="57"/>
    </row>
    <row r="505">
      <c r="C505" s="57"/>
      <c r="D505" s="57"/>
      <c r="E505" s="57"/>
      <c r="F505" s="57"/>
      <c r="G505" s="57"/>
      <c r="L505" s="57"/>
      <c r="M505" s="57"/>
    </row>
    <row r="506">
      <c r="C506" s="57"/>
      <c r="D506" s="57"/>
      <c r="E506" s="57"/>
      <c r="F506" s="57"/>
      <c r="G506" s="57"/>
      <c r="L506" s="57"/>
      <c r="M506" s="57"/>
    </row>
    <row r="507">
      <c r="C507" s="57"/>
      <c r="D507" s="57"/>
      <c r="E507" s="57"/>
      <c r="F507" s="57"/>
      <c r="G507" s="57"/>
      <c r="L507" s="57"/>
      <c r="M507" s="57"/>
    </row>
    <row r="508">
      <c r="C508" s="57"/>
      <c r="D508" s="57"/>
      <c r="E508" s="57"/>
      <c r="F508" s="57"/>
      <c r="G508" s="57"/>
      <c r="L508" s="57"/>
      <c r="M508" s="57"/>
    </row>
    <row r="509">
      <c r="C509" s="57"/>
      <c r="D509" s="57"/>
      <c r="E509" s="57"/>
      <c r="F509" s="57"/>
      <c r="G509" s="57"/>
      <c r="L509" s="57"/>
      <c r="M509" s="57"/>
    </row>
    <row r="510">
      <c r="C510" s="57"/>
      <c r="D510" s="57"/>
      <c r="E510" s="57"/>
      <c r="F510" s="57"/>
      <c r="G510" s="57"/>
      <c r="L510" s="57"/>
      <c r="M510" s="57"/>
    </row>
    <row r="511">
      <c r="C511" s="57"/>
      <c r="D511" s="57"/>
      <c r="E511" s="57"/>
      <c r="F511" s="57"/>
      <c r="G511" s="57"/>
      <c r="L511" s="57"/>
      <c r="M511" s="57"/>
    </row>
    <row r="512">
      <c r="C512" s="57"/>
      <c r="D512" s="57"/>
      <c r="E512" s="57"/>
      <c r="F512" s="57"/>
      <c r="G512" s="57"/>
      <c r="L512" s="57"/>
      <c r="M512" s="57"/>
    </row>
    <row r="513">
      <c r="C513" s="57"/>
      <c r="D513" s="57"/>
      <c r="E513" s="57"/>
      <c r="F513" s="57"/>
      <c r="G513" s="57"/>
      <c r="L513" s="57"/>
      <c r="M513" s="57"/>
    </row>
    <row r="514">
      <c r="C514" s="57"/>
      <c r="D514" s="57"/>
      <c r="E514" s="57"/>
      <c r="F514" s="57"/>
      <c r="G514" s="57"/>
      <c r="L514" s="57"/>
      <c r="M514" s="57"/>
    </row>
    <row r="515">
      <c r="C515" s="57"/>
      <c r="D515" s="57"/>
      <c r="E515" s="57"/>
      <c r="F515" s="57"/>
      <c r="G515" s="57"/>
      <c r="L515" s="57"/>
      <c r="M515" s="57"/>
    </row>
    <row r="516">
      <c r="C516" s="57"/>
      <c r="D516" s="57"/>
      <c r="E516" s="57"/>
      <c r="F516" s="57"/>
      <c r="G516" s="57"/>
      <c r="L516" s="57"/>
      <c r="M516" s="57"/>
    </row>
    <row r="517">
      <c r="C517" s="57"/>
      <c r="D517" s="57"/>
      <c r="E517" s="57"/>
      <c r="F517" s="57"/>
      <c r="G517" s="57"/>
      <c r="L517" s="57"/>
      <c r="M517" s="57"/>
    </row>
    <row r="518">
      <c r="C518" s="57"/>
      <c r="D518" s="57"/>
      <c r="E518" s="57"/>
      <c r="F518" s="57"/>
      <c r="G518" s="57"/>
      <c r="L518" s="57"/>
      <c r="M518" s="57"/>
    </row>
    <row r="519">
      <c r="C519" s="57"/>
      <c r="D519" s="57"/>
      <c r="E519" s="57"/>
      <c r="F519" s="57"/>
      <c r="G519" s="57"/>
      <c r="L519" s="57"/>
      <c r="M519" s="57"/>
    </row>
    <row r="520">
      <c r="C520" s="57"/>
      <c r="D520" s="57"/>
      <c r="E520" s="57"/>
      <c r="F520" s="57"/>
      <c r="G520" s="57"/>
      <c r="L520" s="57"/>
      <c r="M520" s="57"/>
    </row>
    <row r="521">
      <c r="C521" s="57"/>
      <c r="D521" s="57"/>
      <c r="E521" s="57"/>
      <c r="F521" s="57"/>
      <c r="G521" s="57"/>
      <c r="L521" s="57"/>
      <c r="M521" s="57"/>
    </row>
    <row r="522">
      <c r="C522" s="57"/>
      <c r="D522" s="57"/>
      <c r="E522" s="57"/>
      <c r="F522" s="57"/>
      <c r="G522" s="57"/>
      <c r="L522" s="57"/>
      <c r="M522" s="57"/>
    </row>
    <row r="523">
      <c r="C523" s="57"/>
      <c r="D523" s="57"/>
      <c r="E523" s="57"/>
      <c r="F523" s="57"/>
      <c r="G523" s="57"/>
      <c r="L523" s="57"/>
      <c r="M523" s="57"/>
    </row>
    <row r="524">
      <c r="C524" s="57"/>
      <c r="D524" s="57"/>
      <c r="E524" s="57"/>
      <c r="F524" s="57"/>
      <c r="G524" s="57"/>
      <c r="L524" s="57"/>
      <c r="M524" s="57"/>
    </row>
    <row r="525">
      <c r="C525" s="57"/>
      <c r="D525" s="57"/>
      <c r="E525" s="57"/>
      <c r="F525" s="57"/>
      <c r="G525" s="57"/>
      <c r="L525" s="57"/>
      <c r="M525" s="57"/>
    </row>
    <row r="526">
      <c r="C526" s="57"/>
      <c r="D526" s="57"/>
      <c r="E526" s="57"/>
      <c r="F526" s="57"/>
      <c r="G526" s="57"/>
      <c r="L526" s="57"/>
      <c r="M526" s="57"/>
    </row>
    <row r="527">
      <c r="C527" s="57"/>
      <c r="D527" s="57"/>
      <c r="E527" s="57"/>
      <c r="F527" s="57"/>
      <c r="G527" s="57"/>
      <c r="L527" s="57"/>
      <c r="M527" s="57"/>
    </row>
    <row r="528">
      <c r="C528" s="57"/>
      <c r="D528" s="57"/>
      <c r="E528" s="57"/>
      <c r="F528" s="57"/>
      <c r="G528" s="57"/>
      <c r="L528" s="57"/>
      <c r="M528" s="57"/>
    </row>
    <row r="529">
      <c r="C529" s="57"/>
      <c r="D529" s="57"/>
      <c r="E529" s="57"/>
      <c r="F529" s="57"/>
      <c r="G529" s="57"/>
      <c r="L529" s="57"/>
      <c r="M529" s="57"/>
    </row>
    <row r="530">
      <c r="C530" s="57"/>
      <c r="D530" s="57"/>
      <c r="E530" s="57"/>
      <c r="F530" s="57"/>
      <c r="G530" s="57"/>
      <c r="L530" s="57"/>
      <c r="M530" s="57"/>
    </row>
    <row r="531">
      <c r="C531" s="57"/>
      <c r="D531" s="57"/>
      <c r="E531" s="57"/>
      <c r="F531" s="57"/>
      <c r="G531" s="57"/>
      <c r="L531" s="57"/>
      <c r="M531" s="57"/>
    </row>
    <row r="532">
      <c r="C532" s="57"/>
      <c r="D532" s="57"/>
      <c r="E532" s="57"/>
      <c r="F532" s="57"/>
      <c r="G532" s="57"/>
      <c r="L532" s="57"/>
      <c r="M532" s="57"/>
    </row>
    <row r="533">
      <c r="C533" s="57"/>
      <c r="D533" s="57"/>
      <c r="E533" s="57"/>
      <c r="F533" s="57"/>
      <c r="G533" s="57"/>
      <c r="L533" s="57"/>
      <c r="M533" s="57"/>
    </row>
    <row r="534">
      <c r="C534" s="57"/>
      <c r="D534" s="57"/>
      <c r="E534" s="57"/>
      <c r="F534" s="57"/>
      <c r="G534" s="57"/>
      <c r="L534" s="57"/>
      <c r="M534" s="57"/>
    </row>
    <row r="535">
      <c r="C535" s="57"/>
      <c r="D535" s="57"/>
      <c r="E535" s="57"/>
      <c r="F535" s="57"/>
      <c r="G535" s="57"/>
      <c r="L535" s="57"/>
      <c r="M535" s="57"/>
    </row>
    <row r="536">
      <c r="C536" s="57"/>
      <c r="D536" s="57"/>
      <c r="E536" s="57"/>
      <c r="F536" s="57"/>
      <c r="G536" s="57"/>
      <c r="L536" s="57"/>
      <c r="M536" s="57"/>
    </row>
    <row r="537">
      <c r="C537" s="57"/>
      <c r="D537" s="57"/>
      <c r="E537" s="57"/>
      <c r="F537" s="57"/>
      <c r="G537" s="57"/>
      <c r="L537" s="57"/>
      <c r="M537" s="57"/>
    </row>
    <row r="538">
      <c r="C538" s="57"/>
      <c r="D538" s="57"/>
      <c r="E538" s="57"/>
      <c r="F538" s="57"/>
      <c r="G538" s="57"/>
      <c r="L538" s="57"/>
      <c r="M538" s="57"/>
    </row>
    <row r="539">
      <c r="C539" s="57"/>
      <c r="D539" s="57"/>
      <c r="E539" s="57"/>
      <c r="F539" s="57"/>
      <c r="G539" s="57"/>
      <c r="L539" s="57"/>
      <c r="M539" s="57"/>
    </row>
    <row r="540">
      <c r="C540" s="57"/>
      <c r="D540" s="57"/>
      <c r="E540" s="57"/>
      <c r="F540" s="57"/>
      <c r="G540" s="57"/>
      <c r="L540" s="57"/>
      <c r="M540" s="57"/>
    </row>
    <row r="541">
      <c r="C541" s="57"/>
      <c r="D541" s="57"/>
      <c r="E541" s="57"/>
      <c r="F541" s="57"/>
      <c r="G541" s="57"/>
      <c r="L541" s="57"/>
      <c r="M541" s="57"/>
    </row>
    <row r="542">
      <c r="C542" s="57"/>
      <c r="D542" s="57"/>
      <c r="E542" s="57"/>
      <c r="F542" s="57"/>
      <c r="G542" s="57"/>
      <c r="L542" s="57"/>
      <c r="M542" s="57"/>
    </row>
    <row r="543">
      <c r="C543" s="57"/>
      <c r="D543" s="57"/>
      <c r="E543" s="57"/>
      <c r="F543" s="57"/>
      <c r="G543" s="57"/>
      <c r="L543" s="57"/>
      <c r="M543" s="57"/>
    </row>
    <row r="544">
      <c r="C544" s="57"/>
      <c r="D544" s="57"/>
      <c r="E544" s="57"/>
      <c r="F544" s="57"/>
      <c r="G544" s="57"/>
      <c r="L544" s="57"/>
      <c r="M544" s="57"/>
    </row>
    <row r="545">
      <c r="C545" s="57"/>
      <c r="D545" s="57"/>
      <c r="E545" s="57"/>
      <c r="F545" s="57"/>
      <c r="G545" s="57"/>
      <c r="L545" s="57"/>
      <c r="M545" s="57"/>
    </row>
    <row r="546">
      <c r="C546" s="57"/>
      <c r="D546" s="57"/>
      <c r="E546" s="57"/>
      <c r="F546" s="57"/>
      <c r="G546" s="57"/>
      <c r="L546" s="57"/>
      <c r="M546" s="57"/>
    </row>
    <row r="547">
      <c r="C547" s="57"/>
      <c r="D547" s="57"/>
      <c r="E547" s="57"/>
      <c r="F547" s="57"/>
      <c r="G547" s="57"/>
      <c r="L547" s="57"/>
      <c r="M547" s="57"/>
    </row>
    <row r="548">
      <c r="C548" s="57"/>
      <c r="D548" s="57"/>
      <c r="E548" s="57"/>
      <c r="F548" s="57"/>
      <c r="G548" s="57"/>
      <c r="L548" s="57"/>
      <c r="M548" s="57"/>
    </row>
    <row r="549">
      <c r="C549" s="57"/>
      <c r="D549" s="57"/>
      <c r="E549" s="57"/>
      <c r="F549" s="57"/>
      <c r="G549" s="57"/>
      <c r="L549" s="57"/>
      <c r="M549" s="57"/>
    </row>
    <row r="550">
      <c r="C550" s="57"/>
      <c r="D550" s="57"/>
      <c r="E550" s="57"/>
      <c r="F550" s="57"/>
      <c r="G550" s="57"/>
      <c r="L550" s="57"/>
      <c r="M550" s="57"/>
    </row>
    <row r="551">
      <c r="C551" s="57"/>
      <c r="D551" s="57"/>
      <c r="E551" s="57"/>
      <c r="F551" s="57"/>
      <c r="G551" s="57"/>
      <c r="L551" s="57"/>
      <c r="M551" s="57"/>
    </row>
    <row r="552">
      <c r="C552" s="57"/>
      <c r="D552" s="57"/>
      <c r="E552" s="57"/>
      <c r="F552" s="57"/>
      <c r="G552" s="57"/>
      <c r="L552" s="57"/>
      <c r="M552" s="57"/>
    </row>
    <row r="553">
      <c r="C553" s="57"/>
      <c r="D553" s="57"/>
      <c r="E553" s="57"/>
      <c r="F553" s="57"/>
      <c r="G553" s="57"/>
      <c r="L553" s="57"/>
      <c r="M553" s="57"/>
    </row>
    <row r="554">
      <c r="C554" s="57"/>
      <c r="D554" s="57"/>
      <c r="E554" s="57"/>
      <c r="F554" s="57"/>
      <c r="G554" s="57"/>
      <c r="L554" s="57"/>
      <c r="M554" s="57"/>
    </row>
    <row r="555">
      <c r="C555" s="57"/>
      <c r="D555" s="57"/>
      <c r="E555" s="57"/>
      <c r="F555" s="57"/>
      <c r="G555" s="57"/>
      <c r="L555" s="57"/>
      <c r="M555" s="57"/>
    </row>
    <row r="556">
      <c r="C556" s="57"/>
      <c r="D556" s="57"/>
      <c r="E556" s="57"/>
      <c r="F556" s="57"/>
      <c r="G556" s="57"/>
      <c r="L556" s="57"/>
      <c r="M556" s="57"/>
    </row>
    <row r="557">
      <c r="C557" s="57"/>
      <c r="D557" s="57"/>
      <c r="E557" s="57"/>
      <c r="F557" s="57"/>
      <c r="G557" s="57"/>
      <c r="L557" s="57"/>
      <c r="M557" s="57"/>
    </row>
    <row r="558">
      <c r="C558" s="57"/>
      <c r="D558" s="57"/>
      <c r="E558" s="57"/>
      <c r="F558" s="57"/>
      <c r="G558" s="57"/>
      <c r="L558" s="57"/>
      <c r="M558" s="57"/>
    </row>
    <row r="559">
      <c r="C559" s="57"/>
      <c r="D559" s="57"/>
      <c r="E559" s="57"/>
      <c r="F559" s="57"/>
      <c r="G559" s="57"/>
      <c r="L559" s="57"/>
      <c r="M559" s="57"/>
    </row>
    <row r="560">
      <c r="C560" s="57"/>
      <c r="D560" s="57"/>
      <c r="E560" s="57"/>
      <c r="F560" s="57"/>
      <c r="G560" s="57"/>
      <c r="L560" s="57"/>
      <c r="M560" s="57"/>
    </row>
    <row r="561">
      <c r="C561" s="57"/>
      <c r="D561" s="57"/>
      <c r="E561" s="57"/>
      <c r="F561" s="57"/>
      <c r="G561" s="57"/>
      <c r="L561" s="57"/>
      <c r="M561" s="57"/>
    </row>
    <row r="562">
      <c r="C562" s="57"/>
      <c r="D562" s="57"/>
      <c r="E562" s="57"/>
      <c r="F562" s="57"/>
      <c r="G562" s="57"/>
      <c r="L562" s="57"/>
      <c r="M562" s="57"/>
    </row>
    <row r="563">
      <c r="C563" s="57"/>
      <c r="D563" s="57"/>
      <c r="E563" s="57"/>
      <c r="F563" s="57"/>
      <c r="G563" s="57"/>
      <c r="L563" s="57"/>
      <c r="M563" s="57"/>
    </row>
    <row r="564">
      <c r="C564" s="57"/>
      <c r="D564" s="57"/>
      <c r="E564" s="57"/>
      <c r="F564" s="57"/>
      <c r="G564" s="57"/>
      <c r="L564" s="57"/>
      <c r="M564" s="57"/>
    </row>
    <row r="565">
      <c r="C565" s="57"/>
      <c r="D565" s="57"/>
      <c r="E565" s="57"/>
      <c r="F565" s="57"/>
      <c r="G565" s="57"/>
      <c r="L565" s="57"/>
      <c r="M565" s="57"/>
    </row>
    <row r="566">
      <c r="C566" s="57"/>
      <c r="D566" s="57"/>
      <c r="E566" s="57"/>
      <c r="F566" s="57"/>
      <c r="G566" s="57"/>
      <c r="L566" s="57"/>
      <c r="M566" s="57"/>
    </row>
    <row r="567">
      <c r="C567" s="57"/>
      <c r="D567" s="57"/>
      <c r="E567" s="57"/>
      <c r="F567" s="57"/>
      <c r="G567" s="57"/>
      <c r="L567" s="57"/>
      <c r="M567" s="57"/>
    </row>
    <row r="568">
      <c r="C568" s="57"/>
      <c r="D568" s="57"/>
      <c r="E568" s="57"/>
      <c r="F568" s="57"/>
      <c r="G568" s="57"/>
      <c r="L568" s="57"/>
      <c r="M568" s="57"/>
    </row>
    <row r="569">
      <c r="C569" s="57"/>
      <c r="D569" s="57"/>
      <c r="E569" s="57"/>
      <c r="F569" s="57"/>
      <c r="G569" s="57"/>
      <c r="L569" s="57"/>
      <c r="M569" s="57"/>
    </row>
    <row r="570">
      <c r="C570" s="57"/>
      <c r="D570" s="57"/>
      <c r="E570" s="57"/>
      <c r="F570" s="57"/>
      <c r="G570" s="57"/>
      <c r="L570" s="57"/>
      <c r="M570" s="57"/>
    </row>
    <row r="571">
      <c r="C571" s="57"/>
      <c r="D571" s="57"/>
      <c r="E571" s="57"/>
      <c r="F571" s="57"/>
      <c r="G571" s="57"/>
      <c r="L571" s="57"/>
      <c r="M571" s="57"/>
    </row>
    <row r="572">
      <c r="C572" s="57"/>
      <c r="D572" s="57"/>
      <c r="E572" s="57"/>
      <c r="F572" s="57"/>
      <c r="G572" s="57"/>
      <c r="L572" s="57"/>
      <c r="M572" s="57"/>
    </row>
    <row r="573">
      <c r="C573" s="57"/>
      <c r="D573" s="57"/>
      <c r="E573" s="57"/>
      <c r="F573" s="57"/>
      <c r="G573" s="57"/>
      <c r="L573" s="57"/>
      <c r="M573" s="57"/>
    </row>
    <row r="574">
      <c r="C574" s="57"/>
      <c r="D574" s="57"/>
      <c r="E574" s="57"/>
      <c r="F574" s="57"/>
      <c r="G574" s="57"/>
      <c r="L574" s="57"/>
      <c r="M574" s="57"/>
    </row>
    <row r="575">
      <c r="C575" s="57"/>
      <c r="D575" s="57"/>
      <c r="E575" s="57"/>
      <c r="F575" s="57"/>
      <c r="G575" s="57"/>
      <c r="L575" s="57"/>
      <c r="M575" s="57"/>
    </row>
    <row r="576">
      <c r="C576" s="57"/>
      <c r="D576" s="57"/>
      <c r="E576" s="57"/>
      <c r="F576" s="57"/>
      <c r="G576" s="57"/>
      <c r="L576" s="57"/>
      <c r="M576" s="57"/>
    </row>
    <row r="577">
      <c r="C577" s="57"/>
      <c r="D577" s="57"/>
      <c r="E577" s="57"/>
      <c r="F577" s="57"/>
      <c r="G577" s="57"/>
      <c r="L577" s="57"/>
      <c r="M577" s="57"/>
    </row>
    <row r="578">
      <c r="C578" s="57"/>
      <c r="D578" s="57"/>
      <c r="E578" s="57"/>
      <c r="F578" s="57"/>
      <c r="G578" s="57"/>
      <c r="L578" s="57"/>
      <c r="M578" s="57"/>
    </row>
    <row r="579">
      <c r="C579" s="57"/>
      <c r="D579" s="57"/>
      <c r="E579" s="57"/>
      <c r="F579" s="57"/>
      <c r="G579" s="57"/>
      <c r="L579" s="57"/>
      <c r="M579" s="57"/>
    </row>
    <row r="580">
      <c r="C580" s="57"/>
      <c r="D580" s="57"/>
      <c r="E580" s="57"/>
      <c r="F580" s="57"/>
      <c r="G580" s="57"/>
      <c r="L580" s="57"/>
      <c r="M580" s="57"/>
    </row>
    <row r="581">
      <c r="C581" s="57"/>
      <c r="D581" s="57"/>
      <c r="E581" s="57"/>
      <c r="F581" s="57"/>
      <c r="G581" s="57"/>
      <c r="L581" s="57"/>
      <c r="M581" s="57"/>
    </row>
    <row r="582">
      <c r="C582" s="57"/>
      <c r="D582" s="57"/>
      <c r="E582" s="57"/>
      <c r="F582" s="57"/>
      <c r="G582" s="57"/>
      <c r="L582" s="57"/>
      <c r="M582" s="57"/>
    </row>
    <row r="583">
      <c r="C583" s="57"/>
      <c r="D583" s="57"/>
      <c r="E583" s="57"/>
      <c r="F583" s="57"/>
      <c r="G583" s="57"/>
      <c r="L583" s="57"/>
      <c r="M583" s="57"/>
    </row>
    <row r="584">
      <c r="C584" s="57"/>
      <c r="D584" s="57"/>
      <c r="E584" s="57"/>
      <c r="F584" s="57"/>
      <c r="G584" s="57"/>
      <c r="L584" s="57"/>
      <c r="M584" s="57"/>
    </row>
    <row r="585">
      <c r="C585" s="57"/>
      <c r="D585" s="57"/>
      <c r="E585" s="57"/>
      <c r="F585" s="57"/>
      <c r="G585" s="57"/>
      <c r="L585" s="57"/>
      <c r="M585" s="57"/>
    </row>
    <row r="586">
      <c r="C586" s="57"/>
      <c r="D586" s="57"/>
      <c r="E586" s="57"/>
      <c r="F586" s="57"/>
      <c r="G586" s="57"/>
      <c r="L586" s="57"/>
      <c r="M586" s="57"/>
    </row>
    <row r="587">
      <c r="C587" s="57"/>
      <c r="D587" s="57"/>
      <c r="E587" s="57"/>
      <c r="F587" s="57"/>
      <c r="G587" s="57"/>
      <c r="L587" s="57"/>
      <c r="M587" s="57"/>
    </row>
    <row r="588">
      <c r="C588" s="57"/>
      <c r="D588" s="57"/>
      <c r="E588" s="57"/>
      <c r="F588" s="57"/>
      <c r="G588" s="57"/>
      <c r="L588" s="57"/>
      <c r="M588" s="57"/>
    </row>
    <row r="589">
      <c r="C589" s="57"/>
      <c r="D589" s="57"/>
      <c r="E589" s="57"/>
      <c r="F589" s="57"/>
      <c r="G589" s="57"/>
      <c r="L589" s="57"/>
      <c r="M589" s="57"/>
    </row>
    <row r="590">
      <c r="C590" s="57"/>
      <c r="D590" s="57"/>
      <c r="E590" s="57"/>
      <c r="F590" s="57"/>
      <c r="G590" s="57"/>
      <c r="L590" s="57"/>
      <c r="M590" s="57"/>
    </row>
    <row r="591">
      <c r="C591" s="57"/>
      <c r="D591" s="57"/>
      <c r="E591" s="57"/>
      <c r="F591" s="57"/>
      <c r="G591" s="57"/>
      <c r="L591" s="57"/>
      <c r="M591" s="57"/>
    </row>
    <row r="592">
      <c r="C592" s="57"/>
      <c r="D592" s="57"/>
      <c r="E592" s="57"/>
      <c r="F592" s="57"/>
      <c r="G592" s="57"/>
      <c r="L592" s="57"/>
      <c r="M592" s="57"/>
    </row>
    <row r="593">
      <c r="C593" s="57"/>
      <c r="D593" s="57"/>
      <c r="E593" s="57"/>
      <c r="F593" s="57"/>
      <c r="G593" s="57"/>
      <c r="L593" s="57"/>
      <c r="M593" s="57"/>
    </row>
    <row r="594">
      <c r="C594" s="57"/>
      <c r="D594" s="57"/>
      <c r="E594" s="57"/>
      <c r="F594" s="57"/>
      <c r="G594" s="57"/>
      <c r="L594" s="57"/>
      <c r="M594" s="57"/>
    </row>
    <row r="595">
      <c r="C595" s="57"/>
      <c r="D595" s="57"/>
      <c r="E595" s="57"/>
      <c r="F595" s="57"/>
      <c r="G595" s="57"/>
      <c r="L595" s="57"/>
      <c r="M595" s="57"/>
    </row>
    <row r="596">
      <c r="C596" s="57"/>
      <c r="D596" s="57"/>
      <c r="E596" s="57"/>
      <c r="F596" s="57"/>
      <c r="G596" s="57"/>
      <c r="L596" s="57"/>
      <c r="M596" s="57"/>
    </row>
    <row r="597">
      <c r="C597" s="57"/>
      <c r="D597" s="57"/>
      <c r="E597" s="57"/>
      <c r="F597" s="57"/>
      <c r="G597" s="57"/>
      <c r="L597" s="57"/>
      <c r="M597" s="57"/>
    </row>
    <row r="598">
      <c r="C598" s="57"/>
      <c r="D598" s="57"/>
      <c r="E598" s="57"/>
      <c r="F598" s="57"/>
      <c r="G598" s="57"/>
      <c r="L598" s="57"/>
      <c r="M598" s="57"/>
    </row>
    <row r="599">
      <c r="C599" s="57"/>
      <c r="D599" s="57"/>
      <c r="E599" s="57"/>
      <c r="F599" s="57"/>
      <c r="G599" s="57"/>
      <c r="L599" s="57"/>
      <c r="M599" s="57"/>
    </row>
    <row r="600">
      <c r="C600" s="57"/>
      <c r="D600" s="57"/>
      <c r="E600" s="57"/>
      <c r="F600" s="57"/>
      <c r="G600" s="57"/>
      <c r="L600" s="57"/>
      <c r="M600" s="57"/>
    </row>
    <row r="601">
      <c r="C601" s="57"/>
      <c r="D601" s="57"/>
      <c r="E601" s="57"/>
      <c r="F601" s="57"/>
      <c r="G601" s="57"/>
      <c r="L601" s="57"/>
      <c r="M601" s="57"/>
    </row>
    <row r="602">
      <c r="C602" s="57"/>
      <c r="D602" s="57"/>
      <c r="E602" s="57"/>
      <c r="F602" s="57"/>
      <c r="G602" s="57"/>
      <c r="L602" s="57"/>
      <c r="M602" s="57"/>
    </row>
    <row r="603">
      <c r="C603" s="57"/>
      <c r="D603" s="57"/>
      <c r="E603" s="57"/>
      <c r="F603" s="57"/>
      <c r="G603" s="57"/>
      <c r="L603" s="57"/>
      <c r="M603" s="57"/>
    </row>
    <row r="604">
      <c r="C604" s="57"/>
      <c r="D604" s="57"/>
      <c r="E604" s="57"/>
      <c r="F604" s="57"/>
      <c r="G604" s="57"/>
      <c r="L604" s="57"/>
      <c r="M604" s="57"/>
    </row>
    <row r="605">
      <c r="C605" s="57"/>
      <c r="D605" s="57"/>
      <c r="E605" s="57"/>
      <c r="F605" s="57"/>
      <c r="G605" s="57"/>
      <c r="L605" s="57"/>
      <c r="M605" s="57"/>
    </row>
    <row r="606">
      <c r="C606" s="57"/>
      <c r="D606" s="57"/>
      <c r="E606" s="57"/>
      <c r="F606" s="57"/>
      <c r="G606" s="57"/>
      <c r="L606" s="57"/>
      <c r="M606" s="57"/>
    </row>
    <row r="607">
      <c r="C607" s="57"/>
      <c r="D607" s="57"/>
      <c r="E607" s="57"/>
      <c r="F607" s="57"/>
      <c r="G607" s="57"/>
      <c r="L607" s="57"/>
      <c r="M607" s="57"/>
    </row>
    <row r="608">
      <c r="C608" s="57"/>
      <c r="D608" s="57"/>
      <c r="E608" s="57"/>
      <c r="F608" s="57"/>
      <c r="G608" s="57"/>
      <c r="L608" s="57"/>
      <c r="M608" s="57"/>
    </row>
    <row r="609">
      <c r="C609" s="57"/>
      <c r="D609" s="57"/>
      <c r="E609" s="57"/>
      <c r="F609" s="57"/>
      <c r="G609" s="57"/>
      <c r="L609" s="57"/>
      <c r="M609" s="57"/>
    </row>
    <row r="610">
      <c r="C610" s="57"/>
      <c r="D610" s="57"/>
      <c r="E610" s="57"/>
      <c r="F610" s="57"/>
      <c r="G610" s="57"/>
      <c r="L610" s="57"/>
      <c r="M610" s="57"/>
    </row>
    <row r="611">
      <c r="C611" s="57"/>
      <c r="D611" s="57"/>
      <c r="E611" s="57"/>
      <c r="F611" s="57"/>
      <c r="G611" s="57"/>
      <c r="L611" s="57"/>
      <c r="M611" s="57"/>
    </row>
    <row r="612">
      <c r="C612" s="57"/>
      <c r="D612" s="57"/>
      <c r="E612" s="57"/>
      <c r="F612" s="57"/>
      <c r="G612" s="57"/>
      <c r="L612" s="57"/>
      <c r="M612" s="57"/>
    </row>
    <row r="613">
      <c r="C613" s="57"/>
      <c r="D613" s="57"/>
      <c r="E613" s="57"/>
      <c r="F613" s="57"/>
      <c r="G613" s="57"/>
      <c r="L613" s="57"/>
      <c r="M613" s="57"/>
    </row>
    <row r="614">
      <c r="C614" s="57"/>
      <c r="D614" s="57"/>
      <c r="E614" s="57"/>
      <c r="F614" s="57"/>
      <c r="G614" s="57"/>
      <c r="L614" s="57"/>
      <c r="M614" s="57"/>
    </row>
    <row r="615">
      <c r="C615" s="57"/>
      <c r="D615" s="57"/>
      <c r="E615" s="57"/>
      <c r="F615" s="57"/>
      <c r="G615" s="57"/>
      <c r="L615" s="57"/>
      <c r="M615" s="57"/>
    </row>
    <row r="616">
      <c r="C616" s="57"/>
      <c r="D616" s="57"/>
      <c r="E616" s="57"/>
      <c r="F616" s="57"/>
      <c r="G616" s="57"/>
      <c r="L616" s="57"/>
      <c r="M616" s="57"/>
    </row>
    <row r="617">
      <c r="C617" s="57"/>
      <c r="D617" s="57"/>
      <c r="E617" s="57"/>
      <c r="F617" s="57"/>
      <c r="G617" s="57"/>
      <c r="L617" s="57"/>
      <c r="M617" s="57"/>
    </row>
    <row r="618">
      <c r="C618" s="57"/>
      <c r="D618" s="57"/>
      <c r="E618" s="57"/>
      <c r="F618" s="57"/>
      <c r="G618" s="57"/>
      <c r="L618" s="57"/>
      <c r="M618" s="57"/>
    </row>
    <row r="619">
      <c r="C619" s="57"/>
      <c r="D619" s="57"/>
      <c r="E619" s="57"/>
      <c r="F619" s="57"/>
      <c r="G619" s="57"/>
      <c r="L619" s="57"/>
      <c r="M619" s="57"/>
    </row>
    <row r="620">
      <c r="C620" s="57"/>
      <c r="D620" s="57"/>
      <c r="E620" s="57"/>
      <c r="F620" s="57"/>
      <c r="G620" s="57"/>
      <c r="L620" s="57"/>
      <c r="M620" s="57"/>
    </row>
    <row r="621">
      <c r="C621" s="57"/>
      <c r="D621" s="57"/>
      <c r="E621" s="57"/>
      <c r="F621" s="57"/>
      <c r="G621" s="57"/>
      <c r="L621" s="57"/>
      <c r="M621" s="57"/>
    </row>
    <row r="622">
      <c r="C622" s="57"/>
      <c r="D622" s="57"/>
      <c r="E622" s="57"/>
      <c r="F622" s="57"/>
      <c r="G622" s="57"/>
      <c r="L622" s="57"/>
      <c r="M622" s="57"/>
    </row>
    <row r="623">
      <c r="C623" s="57"/>
      <c r="D623" s="57"/>
      <c r="E623" s="57"/>
      <c r="F623" s="57"/>
      <c r="G623" s="57"/>
      <c r="L623" s="57"/>
      <c r="M623" s="57"/>
    </row>
    <row r="624">
      <c r="C624" s="57"/>
      <c r="D624" s="57"/>
      <c r="E624" s="57"/>
      <c r="F624" s="57"/>
      <c r="G624" s="57"/>
      <c r="L624" s="57"/>
      <c r="M624" s="57"/>
    </row>
    <row r="625">
      <c r="C625" s="57"/>
      <c r="D625" s="57"/>
      <c r="E625" s="57"/>
      <c r="F625" s="57"/>
      <c r="G625" s="57"/>
      <c r="L625" s="57"/>
      <c r="M625" s="57"/>
    </row>
    <row r="626">
      <c r="C626" s="57"/>
      <c r="D626" s="57"/>
      <c r="E626" s="57"/>
      <c r="F626" s="57"/>
      <c r="G626" s="57"/>
      <c r="L626" s="57"/>
      <c r="M626" s="57"/>
    </row>
    <row r="627">
      <c r="C627" s="57"/>
      <c r="D627" s="57"/>
      <c r="E627" s="57"/>
      <c r="F627" s="57"/>
      <c r="G627" s="57"/>
      <c r="L627" s="57"/>
      <c r="M627" s="57"/>
    </row>
    <row r="628">
      <c r="C628" s="57"/>
      <c r="D628" s="57"/>
      <c r="E628" s="57"/>
      <c r="F628" s="57"/>
      <c r="G628" s="57"/>
      <c r="L628" s="57"/>
      <c r="M628" s="57"/>
    </row>
    <row r="629">
      <c r="C629" s="57"/>
      <c r="D629" s="57"/>
      <c r="E629" s="57"/>
      <c r="F629" s="57"/>
      <c r="G629" s="57"/>
      <c r="L629" s="57"/>
      <c r="M629" s="57"/>
    </row>
    <row r="630">
      <c r="C630" s="57"/>
      <c r="D630" s="57"/>
      <c r="E630" s="57"/>
      <c r="F630" s="57"/>
      <c r="G630" s="57"/>
      <c r="L630" s="57"/>
      <c r="M630" s="57"/>
    </row>
    <row r="631">
      <c r="C631" s="57"/>
      <c r="D631" s="57"/>
      <c r="E631" s="57"/>
      <c r="F631" s="57"/>
      <c r="G631" s="57"/>
      <c r="L631" s="57"/>
      <c r="M631" s="57"/>
    </row>
    <row r="632">
      <c r="C632" s="57"/>
      <c r="D632" s="57"/>
      <c r="E632" s="57"/>
      <c r="F632" s="57"/>
      <c r="G632" s="57"/>
      <c r="L632" s="57"/>
      <c r="M632" s="57"/>
    </row>
    <row r="633">
      <c r="C633" s="57"/>
      <c r="D633" s="57"/>
      <c r="E633" s="57"/>
      <c r="F633" s="57"/>
      <c r="G633" s="57"/>
      <c r="L633" s="57"/>
      <c r="M633" s="57"/>
    </row>
    <row r="634">
      <c r="C634" s="57"/>
      <c r="D634" s="57"/>
      <c r="E634" s="57"/>
      <c r="F634" s="57"/>
      <c r="G634" s="57"/>
      <c r="L634" s="57"/>
      <c r="M634" s="57"/>
    </row>
    <row r="635">
      <c r="C635" s="57"/>
      <c r="D635" s="57"/>
      <c r="E635" s="57"/>
      <c r="F635" s="57"/>
      <c r="G635" s="57"/>
      <c r="L635" s="57"/>
      <c r="M635" s="57"/>
    </row>
    <row r="636">
      <c r="C636" s="57"/>
      <c r="D636" s="57"/>
      <c r="E636" s="57"/>
      <c r="F636" s="57"/>
      <c r="G636" s="57"/>
      <c r="L636" s="57"/>
      <c r="M636" s="57"/>
    </row>
    <row r="637">
      <c r="C637" s="57"/>
      <c r="D637" s="57"/>
      <c r="E637" s="57"/>
      <c r="F637" s="57"/>
      <c r="G637" s="57"/>
      <c r="L637" s="57"/>
      <c r="M637" s="57"/>
    </row>
    <row r="638">
      <c r="C638" s="57"/>
      <c r="D638" s="57"/>
      <c r="E638" s="57"/>
      <c r="F638" s="57"/>
      <c r="G638" s="57"/>
      <c r="L638" s="57"/>
      <c r="M638" s="57"/>
    </row>
    <row r="639">
      <c r="C639" s="57"/>
      <c r="D639" s="57"/>
      <c r="E639" s="57"/>
      <c r="F639" s="57"/>
      <c r="G639" s="57"/>
      <c r="L639" s="57"/>
      <c r="M639" s="57"/>
    </row>
    <row r="640">
      <c r="C640" s="57"/>
      <c r="D640" s="57"/>
      <c r="E640" s="57"/>
      <c r="F640" s="57"/>
      <c r="G640" s="57"/>
      <c r="L640" s="57"/>
      <c r="M640" s="57"/>
    </row>
    <row r="641">
      <c r="C641" s="57"/>
      <c r="D641" s="57"/>
      <c r="E641" s="57"/>
      <c r="F641" s="57"/>
      <c r="G641" s="57"/>
      <c r="L641" s="57"/>
      <c r="M641" s="57"/>
    </row>
    <row r="642">
      <c r="C642" s="57"/>
      <c r="D642" s="57"/>
      <c r="E642" s="57"/>
      <c r="F642" s="57"/>
      <c r="G642" s="57"/>
      <c r="L642" s="57"/>
      <c r="M642" s="57"/>
    </row>
    <row r="643">
      <c r="C643" s="57"/>
      <c r="D643" s="57"/>
      <c r="E643" s="57"/>
      <c r="F643" s="57"/>
      <c r="G643" s="57"/>
      <c r="L643" s="57"/>
      <c r="M643" s="57"/>
    </row>
    <row r="644">
      <c r="C644" s="57"/>
      <c r="D644" s="57"/>
      <c r="E644" s="57"/>
      <c r="F644" s="57"/>
      <c r="G644" s="57"/>
      <c r="L644" s="57"/>
      <c r="M644" s="57"/>
    </row>
    <row r="645">
      <c r="C645" s="57"/>
      <c r="D645" s="57"/>
      <c r="E645" s="57"/>
      <c r="F645" s="57"/>
      <c r="G645" s="57"/>
      <c r="L645" s="57"/>
      <c r="M645" s="57"/>
    </row>
    <row r="646">
      <c r="C646" s="57"/>
      <c r="D646" s="57"/>
      <c r="E646" s="57"/>
      <c r="F646" s="57"/>
      <c r="G646" s="57"/>
      <c r="L646" s="57"/>
      <c r="M646" s="57"/>
    </row>
    <row r="647">
      <c r="C647" s="57"/>
      <c r="D647" s="57"/>
      <c r="E647" s="57"/>
      <c r="F647" s="57"/>
      <c r="G647" s="57"/>
      <c r="L647" s="57"/>
      <c r="M647" s="57"/>
    </row>
    <row r="648">
      <c r="C648" s="57"/>
      <c r="D648" s="57"/>
      <c r="E648" s="57"/>
      <c r="F648" s="57"/>
      <c r="G648" s="57"/>
      <c r="L648" s="57"/>
      <c r="M648" s="57"/>
    </row>
    <row r="649">
      <c r="C649" s="57"/>
      <c r="D649" s="57"/>
      <c r="E649" s="57"/>
      <c r="F649" s="57"/>
      <c r="G649" s="57"/>
      <c r="L649" s="57"/>
      <c r="M649" s="57"/>
    </row>
    <row r="650">
      <c r="C650" s="57"/>
      <c r="D650" s="57"/>
      <c r="E650" s="57"/>
      <c r="F650" s="57"/>
      <c r="G650" s="57"/>
      <c r="L650" s="57"/>
      <c r="M650" s="57"/>
    </row>
    <row r="651">
      <c r="C651" s="57"/>
      <c r="D651" s="57"/>
      <c r="E651" s="57"/>
      <c r="F651" s="57"/>
      <c r="G651" s="57"/>
      <c r="L651" s="57"/>
      <c r="M651" s="57"/>
    </row>
    <row r="652">
      <c r="C652" s="57"/>
      <c r="D652" s="57"/>
      <c r="E652" s="57"/>
      <c r="F652" s="57"/>
      <c r="G652" s="57"/>
      <c r="L652" s="57"/>
      <c r="M652" s="57"/>
    </row>
    <row r="653">
      <c r="C653" s="57"/>
      <c r="D653" s="57"/>
      <c r="E653" s="57"/>
      <c r="F653" s="57"/>
      <c r="G653" s="57"/>
      <c r="L653" s="57"/>
      <c r="M653" s="57"/>
    </row>
    <row r="654">
      <c r="C654" s="57"/>
      <c r="D654" s="57"/>
      <c r="E654" s="57"/>
      <c r="F654" s="57"/>
      <c r="G654" s="57"/>
      <c r="L654" s="57"/>
      <c r="M654" s="57"/>
    </row>
    <row r="655">
      <c r="C655" s="57"/>
      <c r="D655" s="57"/>
      <c r="E655" s="57"/>
      <c r="F655" s="57"/>
      <c r="G655" s="57"/>
      <c r="L655" s="57"/>
      <c r="M655" s="57"/>
    </row>
    <row r="656">
      <c r="C656" s="57"/>
      <c r="D656" s="57"/>
      <c r="E656" s="57"/>
      <c r="F656" s="57"/>
      <c r="G656" s="57"/>
      <c r="L656" s="57"/>
      <c r="M656" s="57"/>
    </row>
    <row r="657">
      <c r="C657" s="57"/>
      <c r="D657" s="57"/>
      <c r="E657" s="57"/>
      <c r="F657" s="57"/>
      <c r="G657" s="57"/>
      <c r="L657" s="57"/>
      <c r="M657" s="57"/>
    </row>
    <row r="658">
      <c r="C658" s="57"/>
      <c r="D658" s="57"/>
      <c r="E658" s="57"/>
      <c r="F658" s="57"/>
      <c r="G658" s="57"/>
      <c r="L658" s="57"/>
      <c r="M658" s="57"/>
    </row>
    <row r="659">
      <c r="C659" s="57"/>
      <c r="D659" s="57"/>
      <c r="E659" s="57"/>
      <c r="F659" s="57"/>
      <c r="G659" s="57"/>
      <c r="L659" s="57"/>
      <c r="M659" s="57"/>
    </row>
    <row r="660">
      <c r="C660" s="57"/>
      <c r="D660" s="57"/>
      <c r="E660" s="57"/>
      <c r="F660" s="57"/>
      <c r="G660" s="57"/>
      <c r="L660" s="57"/>
      <c r="M660" s="57"/>
    </row>
    <row r="661">
      <c r="C661" s="57"/>
      <c r="D661" s="57"/>
      <c r="E661" s="57"/>
      <c r="F661" s="57"/>
      <c r="G661" s="57"/>
      <c r="L661" s="57"/>
      <c r="M661" s="57"/>
    </row>
    <row r="662">
      <c r="C662" s="57"/>
      <c r="D662" s="57"/>
      <c r="E662" s="57"/>
      <c r="F662" s="57"/>
      <c r="G662" s="57"/>
      <c r="L662" s="57"/>
      <c r="M662" s="57"/>
    </row>
    <row r="663">
      <c r="C663" s="57"/>
      <c r="D663" s="57"/>
      <c r="E663" s="57"/>
      <c r="F663" s="57"/>
      <c r="G663" s="57"/>
      <c r="L663" s="57"/>
      <c r="M663" s="57"/>
    </row>
    <row r="664">
      <c r="C664" s="57"/>
      <c r="D664" s="57"/>
      <c r="E664" s="57"/>
      <c r="F664" s="57"/>
      <c r="G664" s="57"/>
      <c r="L664" s="57"/>
      <c r="M664" s="57"/>
    </row>
    <row r="665">
      <c r="C665" s="57"/>
      <c r="D665" s="57"/>
      <c r="E665" s="57"/>
      <c r="F665" s="57"/>
      <c r="G665" s="57"/>
      <c r="L665" s="57"/>
      <c r="M665" s="57"/>
    </row>
    <row r="666">
      <c r="C666" s="57"/>
      <c r="D666" s="57"/>
      <c r="E666" s="57"/>
      <c r="F666" s="57"/>
      <c r="G666" s="57"/>
      <c r="L666" s="57"/>
      <c r="M666" s="57"/>
    </row>
    <row r="667">
      <c r="C667" s="57"/>
      <c r="D667" s="57"/>
      <c r="E667" s="57"/>
      <c r="F667" s="57"/>
      <c r="G667" s="57"/>
      <c r="L667" s="57"/>
      <c r="M667" s="57"/>
    </row>
    <row r="668">
      <c r="C668" s="57"/>
      <c r="D668" s="57"/>
      <c r="E668" s="57"/>
      <c r="F668" s="57"/>
      <c r="G668" s="57"/>
      <c r="L668" s="57"/>
      <c r="M668" s="57"/>
    </row>
    <row r="669">
      <c r="C669" s="57"/>
      <c r="D669" s="57"/>
      <c r="E669" s="57"/>
      <c r="F669" s="57"/>
      <c r="G669" s="57"/>
      <c r="L669" s="57"/>
      <c r="M669" s="57"/>
    </row>
    <row r="670">
      <c r="C670" s="57"/>
      <c r="D670" s="57"/>
      <c r="E670" s="57"/>
      <c r="F670" s="57"/>
      <c r="G670" s="57"/>
      <c r="L670" s="57"/>
      <c r="M670" s="57"/>
    </row>
    <row r="671">
      <c r="C671" s="57"/>
      <c r="D671" s="57"/>
      <c r="E671" s="57"/>
      <c r="F671" s="57"/>
      <c r="G671" s="57"/>
      <c r="L671" s="57"/>
      <c r="M671" s="57"/>
    </row>
    <row r="672">
      <c r="C672" s="57"/>
      <c r="D672" s="57"/>
      <c r="E672" s="57"/>
      <c r="F672" s="57"/>
      <c r="G672" s="57"/>
      <c r="L672" s="57"/>
      <c r="M672" s="57"/>
    </row>
    <row r="673">
      <c r="C673" s="57"/>
      <c r="D673" s="57"/>
      <c r="E673" s="57"/>
      <c r="F673" s="57"/>
      <c r="G673" s="57"/>
      <c r="L673" s="57"/>
      <c r="M673" s="57"/>
    </row>
    <row r="674">
      <c r="C674" s="57"/>
      <c r="D674" s="57"/>
      <c r="E674" s="57"/>
      <c r="F674" s="57"/>
      <c r="G674" s="57"/>
      <c r="L674" s="57"/>
      <c r="M674" s="57"/>
    </row>
    <row r="675">
      <c r="C675" s="57"/>
      <c r="D675" s="57"/>
      <c r="E675" s="57"/>
      <c r="F675" s="57"/>
      <c r="G675" s="57"/>
      <c r="L675" s="57"/>
      <c r="M675" s="57"/>
    </row>
    <row r="676">
      <c r="C676" s="57"/>
      <c r="D676" s="57"/>
      <c r="E676" s="57"/>
      <c r="F676" s="57"/>
      <c r="G676" s="57"/>
      <c r="L676" s="57"/>
      <c r="M676" s="57"/>
    </row>
    <row r="677">
      <c r="C677" s="57"/>
      <c r="D677" s="57"/>
      <c r="E677" s="57"/>
      <c r="F677" s="57"/>
      <c r="G677" s="57"/>
      <c r="L677" s="57"/>
      <c r="M677" s="57"/>
    </row>
    <row r="678">
      <c r="C678" s="57"/>
      <c r="D678" s="57"/>
      <c r="E678" s="57"/>
      <c r="F678" s="57"/>
      <c r="G678" s="57"/>
      <c r="L678" s="57"/>
      <c r="M678" s="57"/>
    </row>
    <row r="679">
      <c r="C679" s="57"/>
      <c r="D679" s="57"/>
      <c r="E679" s="57"/>
      <c r="F679" s="57"/>
      <c r="G679" s="57"/>
      <c r="L679" s="57"/>
      <c r="M679" s="57"/>
    </row>
    <row r="680">
      <c r="C680" s="57"/>
      <c r="D680" s="57"/>
      <c r="E680" s="57"/>
      <c r="F680" s="57"/>
      <c r="G680" s="57"/>
      <c r="L680" s="57"/>
      <c r="M680" s="57"/>
    </row>
    <row r="681">
      <c r="C681" s="57"/>
      <c r="D681" s="57"/>
      <c r="E681" s="57"/>
      <c r="F681" s="57"/>
      <c r="G681" s="57"/>
      <c r="L681" s="57"/>
      <c r="M681" s="57"/>
    </row>
    <row r="682">
      <c r="C682" s="57"/>
      <c r="D682" s="57"/>
      <c r="E682" s="57"/>
      <c r="F682" s="57"/>
      <c r="G682" s="57"/>
      <c r="L682" s="57"/>
      <c r="M682" s="57"/>
    </row>
    <row r="683">
      <c r="C683" s="57"/>
      <c r="D683" s="57"/>
      <c r="E683" s="57"/>
      <c r="F683" s="57"/>
      <c r="G683" s="57"/>
      <c r="L683" s="57"/>
      <c r="M683" s="57"/>
    </row>
    <row r="684">
      <c r="C684" s="57"/>
      <c r="D684" s="57"/>
      <c r="E684" s="57"/>
      <c r="F684" s="57"/>
      <c r="G684" s="57"/>
      <c r="L684" s="57"/>
      <c r="M684" s="57"/>
    </row>
    <row r="685">
      <c r="C685" s="57"/>
      <c r="D685" s="57"/>
      <c r="E685" s="57"/>
      <c r="F685" s="57"/>
      <c r="G685" s="57"/>
      <c r="L685" s="57"/>
      <c r="M685" s="57"/>
    </row>
    <row r="686">
      <c r="C686" s="57"/>
      <c r="D686" s="57"/>
      <c r="E686" s="57"/>
      <c r="F686" s="57"/>
      <c r="G686" s="57"/>
      <c r="L686" s="57"/>
      <c r="M686" s="57"/>
    </row>
    <row r="687">
      <c r="C687" s="57"/>
      <c r="D687" s="57"/>
      <c r="E687" s="57"/>
      <c r="F687" s="57"/>
      <c r="G687" s="57"/>
      <c r="L687" s="57"/>
      <c r="M687" s="57"/>
    </row>
    <row r="688">
      <c r="C688" s="57"/>
      <c r="D688" s="57"/>
      <c r="E688" s="57"/>
      <c r="F688" s="57"/>
      <c r="G688" s="57"/>
      <c r="L688" s="57"/>
      <c r="M688" s="57"/>
    </row>
    <row r="689">
      <c r="C689" s="57"/>
      <c r="D689" s="57"/>
      <c r="E689" s="57"/>
      <c r="F689" s="57"/>
      <c r="G689" s="57"/>
      <c r="L689" s="57"/>
      <c r="M689" s="57"/>
    </row>
    <row r="690">
      <c r="C690" s="57"/>
      <c r="D690" s="57"/>
      <c r="E690" s="57"/>
      <c r="F690" s="57"/>
      <c r="G690" s="57"/>
      <c r="L690" s="57"/>
      <c r="M690" s="57"/>
    </row>
    <row r="691">
      <c r="C691" s="57"/>
      <c r="D691" s="57"/>
      <c r="E691" s="57"/>
      <c r="F691" s="57"/>
      <c r="G691" s="57"/>
      <c r="L691" s="57"/>
      <c r="M691" s="57"/>
    </row>
    <row r="692">
      <c r="C692" s="57"/>
      <c r="D692" s="57"/>
      <c r="E692" s="57"/>
      <c r="F692" s="57"/>
      <c r="G692" s="57"/>
      <c r="L692" s="57"/>
      <c r="M692" s="57"/>
    </row>
    <row r="693">
      <c r="C693" s="57"/>
      <c r="D693" s="57"/>
      <c r="E693" s="57"/>
      <c r="F693" s="57"/>
      <c r="G693" s="57"/>
      <c r="L693" s="57"/>
      <c r="M693" s="57"/>
    </row>
    <row r="694">
      <c r="C694" s="57"/>
      <c r="D694" s="57"/>
      <c r="E694" s="57"/>
      <c r="F694" s="57"/>
      <c r="G694" s="57"/>
      <c r="L694" s="57"/>
      <c r="M694" s="57"/>
    </row>
    <row r="695">
      <c r="C695" s="57"/>
      <c r="D695" s="57"/>
      <c r="E695" s="57"/>
      <c r="F695" s="57"/>
      <c r="G695" s="57"/>
      <c r="L695" s="57"/>
      <c r="M695" s="57"/>
    </row>
    <row r="696">
      <c r="C696" s="57"/>
      <c r="D696" s="57"/>
      <c r="E696" s="57"/>
      <c r="F696" s="57"/>
      <c r="G696" s="57"/>
      <c r="L696" s="57"/>
      <c r="M696" s="57"/>
    </row>
    <row r="697">
      <c r="C697" s="57"/>
      <c r="D697" s="57"/>
      <c r="E697" s="57"/>
      <c r="F697" s="57"/>
      <c r="G697" s="57"/>
      <c r="L697" s="57"/>
      <c r="M697" s="57"/>
    </row>
    <row r="698">
      <c r="C698" s="57"/>
      <c r="D698" s="57"/>
      <c r="E698" s="57"/>
      <c r="F698" s="57"/>
      <c r="G698" s="57"/>
      <c r="L698" s="57"/>
      <c r="M698" s="57"/>
    </row>
    <row r="699">
      <c r="C699" s="57"/>
      <c r="D699" s="57"/>
      <c r="E699" s="57"/>
      <c r="F699" s="57"/>
      <c r="G699" s="57"/>
      <c r="L699" s="57"/>
      <c r="M699" s="57"/>
    </row>
    <row r="700">
      <c r="C700" s="57"/>
      <c r="D700" s="57"/>
      <c r="E700" s="57"/>
      <c r="F700" s="57"/>
      <c r="G700" s="57"/>
      <c r="L700" s="57"/>
      <c r="M700" s="57"/>
    </row>
    <row r="701">
      <c r="C701" s="57"/>
      <c r="D701" s="57"/>
      <c r="E701" s="57"/>
      <c r="F701" s="57"/>
      <c r="G701" s="57"/>
      <c r="L701" s="57"/>
      <c r="M701" s="57"/>
    </row>
    <row r="702">
      <c r="C702" s="57"/>
      <c r="D702" s="57"/>
      <c r="E702" s="57"/>
      <c r="F702" s="57"/>
      <c r="G702" s="57"/>
      <c r="L702" s="57"/>
      <c r="M702" s="57"/>
    </row>
    <row r="703">
      <c r="C703" s="57"/>
      <c r="D703" s="57"/>
      <c r="E703" s="57"/>
      <c r="F703" s="57"/>
      <c r="G703" s="57"/>
      <c r="L703" s="57"/>
      <c r="M703" s="57"/>
    </row>
    <row r="704">
      <c r="C704" s="57"/>
      <c r="D704" s="57"/>
      <c r="E704" s="57"/>
      <c r="F704" s="57"/>
      <c r="G704" s="57"/>
      <c r="L704" s="57"/>
      <c r="M704" s="57"/>
    </row>
    <row r="705">
      <c r="C705" s="57"/>
      <c r="D705" s="57"/>
      <c r="E705" s="57"/>
      <c r="F705" s="57"/>
      <c r="G705" s="57"/>
      <c r="L705" s="57"/>
      <c r="M705" s="57"/>
    </row>
    <row r="706">
      <c r="C706" s="57"/>
      <c r="D706" s="57"/>
      <c r="E706" s="57"/>
      <c r="F706" s="57"/>
      <c r="G706" s="57"/>
      <c r="L706" s="57"/>
      <c r="M706" s="57"/>
    </row>
    <row r="707">
      <c r="C707" s="57"/>
      <c r="D707" s="57"/>
      <c r="E707" s="57"/>
      <c r="F707" s="57"/>
      <c r="G707" s="57"/>
      <c r="L707" s="57"/>
      <c r="M707" s="57"/>
    </row>
    <row r="708">
      <c r="C708" s="57"/>
      <c r="D708" s="57"/>
      <c r="E708" s="57"/>
      <c r="F708" s="57"/>
      <c r="G708" s="57"/>
      <c r="L708" s="57"/>
      <c r="M708" s="57"/>
    </row>
    <row r="709">
      <c r="C709" s="57"/>
      <c r="D709" s="57"/>
      <c r="E709" s="57"/>
      <c r="F709" s="57"/>
      <c r="G709" s="57"/>
      <c r="L709" s="57"/>
      <c r="M709" s="57"/>
    </row>
    <row r="710">
      <c r="C710" s="57"/>
      <c r="D710" s="57"/>
      <c r="E710" s="57"/>
      <c r="F710" s="57"/>
      <c r="G710" s="57"/>
      <c r="L710" s="57"/>
      <c r="M710" s="57"/>
    </row>
    <row r="711">
      <c r="C711" s="57"/>
      <c r="D711" s="57"/>
      <c r="E711" s="57"/>
      <c r="F711" s="57"/>
      <c r="G711" s="57"/>
      <c r="L711" s="57"/>
      <c r="M711" s="57"/>
    </row>
    <row r="712">
      <c r="C712" s="57"/>
      <c r="D712" s="57"/>
      <c r="E712" s="57"/>
      <c r="F712" s="57"/>
      <c r="G712" s="57"/>
      <c r="L712" s="57"/>
      <c r="M712" s="57"/>
    </row>
    <row r="713">
      <c r="C713" s="57"/>
      <c r="D713" s="57"/>
      <c r="E713" s="57"/>
      <c r="F713" s="57"/>
      <c r="G713" s="57"/>
      <c r="L713" s="57"/>
      <c r="M713" s="57"/>
    </row>
    <row r="714">
      <c r="C714" s="57"/>
      <c r="D714" s="57"/>
      <c r="E714" s="57"/>
      <c r="F714" s="57"/>
      <c r="G714" s="57"/>
      <c r="L714" s="57"/>
      <c r="M714" s="57"/>
    </row>
    <row r="715">
      <c r="C715" s="57"/>
      <c r="D715" s="57"/>
      <c r="E715" s="57"/>
      <c r="F715" s="57"/>
      <c r="G715" s="57"/>
      <c r="L715" s="57"/>
      <c r="M715" s="57"/>
    </row>
    <row r="716">
      <c r="C716" s="57"/>
      <c r="D716" s="57"/>
      <c r="E716" s="57"/>
      <c r="F716" s="57"/>
      <c r="G716" s="57"/>
      <c r="L716" s="57"/>
      <c r="M716" s="57"/>
    </row>
    <row r="717">
      <c r="C717" s="57"/>
      <c r="D717" s="57"/>
      <c r="E717" s="57"/>
      <c r="F717" s="57"/>
      <c r="G717" s="57"/>
      <c r="L717" s="57"/>
      <c r="M717" s="57"/>
    </row>
    <row r="718">
      <c r="C718" s="57"/>
      <c r="D718" s="57"/>
      <c r="E718" s="57"/>
      <c r="F718" s="57"/>
      <c r="G718" s="57"/>
      <c r="L718" s="57"/>
      <c r="M718" s="57"/>
    </row>
    <row r="719">
      <c r="C719" s="57"/>
      <c r="D719" s="57"/>
      <c r="E719" s="57"/>
      <c r="F719" s="57"/>
      <c r="G719" s="57"/>
      <c r="L719" s="57"/>
      <c r="M719" s="57"/>
    </row>
    <row r="720">
      <c r="C720" s="57"/>
      <c r="D720" s="57"/>
      <c r="E720" s="57"/>
      <c r="F720" s="57"/>
      <c r="G720" s="57"/>
      <c r="L720" s="57"/>
      <c r="M720" s="57"/>
    </row>
    <row r="721">
      <c r="C721" s="57"/>
      <c r="D721" s="57"/>
      <c r="E721" s="57"/>
      <c r="F721" s="57"/>
      <c r="G721" s="57"/>
      <c r="L721" s="57"/>
      <c r="M721" s="57"/>
    </row>
    <row r="722">
      <c r="C722" s="57"/>
      <c r="D722" s="57"/>
      <c r="E722" s="57"/>
      <c r="F722" s="57"/>
      <c r="G722" s="57"/>
      <c r="L722" s="57"/>
      <c r="M722" s="57"/>
    </row>
    <row r="723">
      <c r="C723" s="57"/>
      <c r="D723" s="57"/>
      <c r="E723" s="57"/>
      <c r="F723" s="57"/>
      <c r="G723" s="57"/>
      <c r="L723" s="57"/>
      <c r="M723" s="57"/>
    </row>
    <row r="724">
      <c r="C724" s="57"/>
      <c r="D724" s="57"/>
      <c r="E724" s="57"/>
      <c r="F724" s="57"/>
      <c r="G724" s="57"/>
      <c r="L724" s="57"/>
      <c r="M724" s="57"/>
    </row>
    <row r="725">
      <c r="C725" s="57"/>
      <c r="D725" s="57"/>
      <c r="E725" s="57"/>
      <c r="F725" s="57"/>
      <c r="G725" s="57"/>
      <c r="L725" s="57"/>
      <c r="M725" s="57"/>
    </row>
    <row r="726">
      <c r="C726" s="57"/>
      <c r="D726" s="57"/>
      <c r="E726" s="57"/>
      <c r="F726" s="57"/>
      <c r="G726" s="57"/>
      <c r="L726" s="57"/>
      <c r="M726" s="57"/>
    </row>
    <row r="727">
      <c r="C727" s="57"/>
      <c r="D727" s="57"/>
      <c r="E727" s="57"/>
      <c r="F727" s="57"/>
      <c r="G727" s="57"/>
      <c r="L727" s="57"/>
      <c r="M727" s="57"/>
    </row>
    <row r="728">
      <c r="C728" s="57"/>
      <c r="D728" s="57"/>
      <c r="E728" s="57"/>
      <c r="F728" s="57"/>
      <c r="G728" s="57"/>
      <c r="L728" s="57"/>
      <c r="M728" s="57"/>
    </row>
    <row r="729">
      <c r="C729" s="57"/>
      <c r="D729" s="57"/>
      <c r="E729" s="57"/>
      <c r="F729" s="57"/>
      <c r="G729" s="57"/>
      <c r="L729" s="57"/>
      <c r="M729" s="57"/>
    </row>
    <row r="730">
      <c r="C730" s="57"/>
      <c r="D730" s="57"/>
      <c r="E730" s="57"/>
      <c r="F730" s="57"/>
      <c r="G730" s="57"/>
      <c r="L730" s="57"/>
      <c r="M730" s="57"/>
    </row>
    <row r="731">
      <c r="C731" s="57"/>
      <c r="D731" s="57"/>
      <c r="E731" s="57"/>
      <c r="F731" s="57"/>
      <c r="G731" s="57"/>
      <c r="L731" s="57"/>
      <c r="M731" s="57"/>
    </row>
    <row r="732">
      <c r="C732" s="57"/>
      <c r="D732" s="57"/>
      <c r="E732" s="57"/>
      <c r="F732" s="57"/>
      <c r="G732" s="57"/>
      <c r="L732" s="57"/>
      <c r="M732" s="57"/>
    </row>
    <row r="733">
      <c r="C733" s="57"/>
      <c r="D733" s="57"/>
      <c r="E733" s="57"/>
      <c r="F733" s="57"/>
      <c r="G733" s="57"/>
      <c r="L733" s="57"/>
      <c r="M733" s="57"/>
    </row>
    <row r="734">
      <c r="C734" s="57"/>
      <c r="D734" s="57"/>
      <c r="E734" s="57"/>
      <c r="F734" s="57"/>
      <c r="G734" s="57"/>
      <c r="L734" s="57"/>
      <c r="M734" s="57"/>
    </row>
    <row r="735">
      <c r="C735" s="57"/>
      <c r="D735" s="57"/>
      <c r="E735" s="57"/>
      <c r="F735" s="57"/>
      <c r="G735" s="57"/>
      <c r="L735" s="57"/>
      <c r="M735" s="57"/>
    </row>
    <row r="736">
      <c r="C736" s="57"/>
      <c r="D736" s="57"/>
      <c r="E736" s="57"/>
      <c r="F736" s="57"/>
      <c r="G736" s="57"/>
      <c r="L736" s="57"/>
      <c r="M736" s="57"/>
    </row>
    <row r="737">
      <c r="C737" s="57"/>
      <c r="D737" s="57"/>
      <c r="E737" s="57"/>
      <c r="F737" s="57"/>
      <c r="G737" s="57"/>
      <c r="L737" s="57"/>
      <c r="M737" s="57"/>
    </row>
    <row r="738">
      <c r="C738" s="57"/>
      <c r="D738" s="57"/>
      <c r="E738" s="57"/>
      <c r="F738" s="57"/>
      <c r="G738" s="57"/>
      <c r="L738" s="57"/>
      <c r="M738" s="57"/>
    </row>
    <row r="739">
      <c r="C739" s="57"/>
      <c r="D739" s="57"/>
      <c r="E739" s="57"/>
      <c r="F739" s="57"/>
      <c r="G739" s="57"/>
      <c r="L739" s="57"/>
      <c r="M739" s="57"/>
    </row>
    <row r="740">
      <c r="C740" s="57"/>
      <c r="D740" s="57"/>
      <c r="E740" s="57"/>
      <c r="F740" s="57"/>
      <c r="G740" s="57"/>
      <c r="L740" s="57"/>
      <c r="M740" s="57"/>
    </row>
    <row r="741">
      <c r="C741" s="57"/>
      <c r="D741" s="57"/>
      <c r="E741" s="57"/>
      <c r="F741" s="57"/>
      <c r="G741" s="57"/>
      <c r="L741" s="57"/>
      <c r="M741" s="57"/>
    </row>
    <row r="742">
      <c r="C742" s="57"/>
      <c r="D742" s="57"/>
      <c r="E742" s="57"/>
      <c r="F742" s="57"/>
      <c r="G742" s="57"/>
      <c r="L742" s="57"/>
      <c r="M742" s="57"/>
    </row>
    <row r="743">
      <c r="C743" s="57"/>
      <c r="D743" s="57"/>
      <c r="E743" s="57"/>
      <c r="F743" s="57"/>
      <c r="G743" s="57"/>
      <c r="L743" s="57"/>
      <c r="M743" s="57"/>
    </row>
    <row r="744">
      <c r="C744" s="57"/>
      <c r="D744" s="57"/>
      <c r="E744" s="57"/>
      <c r="F744" s="57"/>
      <c r="G744" s="57"/>
      <c r="L744" s="57"/>
      <c r="M744" s="57"/>
    </row>
    <row r="745">
      <c r="C745" s="57"/>
      <c r="D745" s="57"/>
      <c r="E745" s="57"/>
      <c r="F745" s="57"/>
      <c r="G745" s="57"/>
      <c r="L745" s="57"/>
      <c r="M745" s="57"/>
    </row>
    <row r="746">
      <c r="C746" s="57"/>
      <c r="D746" s="57"/>
      <c r="E746" s="57"/>
      <c r="F746" s="57"/>
      <c r="G746" s="57"/>
      <c r="L746" s="57"/>
      <c r="M746" s="57"/>
    </row>
    <row r="747">
      <c r="C747" s="57"/>
      <c r="D747" s="57"/>
      <c r="E747" s="57"/>
      <c r="F747" s="57"/>
      <c r="G747" s="57"/>
      <c r="L747" s="57"/>
      <c r="M747" s="57"/>
    </row>
    <row r="748">
      <c r="C748" s="57"/>
      <c r="D748" s="57"/>
      <c r="E748" s="57"/>
      <c r="F748" s="57"/>
      <c r="G748" s="57"/>
      <c r="L748" s="57"/>
      <c r="M748" s="57"/>
    </row>
    <row r="749">
      <c r="C749" s="57"/>
      <c r="D749" s="57"/>
      <c r="E749" s="57"/>
      <c r="F749" s="57"/>
      <c r="G749" s="57"/>
      <c r="L749" s="57"/>
      <c r="M749" s="57"/>
    </row>
    <row r="750">
      <c r="C750" s="57"/>
      <c r="D750" s="57"/>
      <c r="E750" s="57"/>
      <c r="F750" s="57"/>
      <c r="G750" s="57"/>
      <c r="L750" s="57"/>
      <c r="M750" s="57"/>
    </row>
    <row r="751">
      <c r="C751" s="57"/>
      <c r="D751" s="57"/>
      <c r="E751" s="57"/>
      <c r="F751" s="57"/>
      <c r="G751" s="57"/>
      <c r="L751" s="57"/>
      <c r="M751" s="57"/>
    </row>
    <row r="752">
      <c r="C752" s="57"/>
      <c r="D752" s="57"/>
      <c r="E752" s="57"/>
      <c r="F752" s="57"/>
      <c r="G752" s="57"/>
      <c r="L752" s="57"/>
      <c r="M752" s="57"/>
    </row>
    <row r="753">
      <c r="C753" s="57"/>
      <c r="D753" s="57"/>
      <c r="E753" s="57"/>
      <c r="F753" s="57"/>
      <c r="G753" s="57"/>
      <c r="L753" s="57"/>
      <c r="M753" s="57"/>
    </row>
    <row r="754">
      <c r="C754" s="57"/>
      <c r="D754" s="57"/>
      <c r="E754" s="57"/>
      <c r="F754" s="57"/>
      <c r="G754" s="57"/>
      <c r="L754" s="57"/>
      <c r="M754" s="57"/>
    </row>
    <row r="755">
      <c r="C755" s="57"/>
      <c r="D755" s="57"/>
      <c r="E755" s="57"/>
      <c r="F755" s="57"/>
      <c r="G755" s="57"/>
      <c r="L755" s="57"/>
      <c r="M755" s="57"/>
    </row>
    <row r="756">
      <c r="C756" s="57"/>
      <c r="D756" s="57"/>
      <c r="E756" s="57"/>
      <c r="F756" s="57"/>
      <c r="G756" s="57"/>
      <c r="L756" s="57"/>
      <c r="M756" s="57"/>
    </row>
    <row r="757">
      <c r="C757" s="57"/>
      <c r="D757" s="57"/>
      <c r="E757" s="57"/>
      <c r="F757" s="57"/>
      <c r="G757" s="57"/>
      <c r="L757" s="57"/>
      <c r="M757" s="57"/>
    </row>
    <row r="758">
      <c r="C758" s="57"/>
      <c r="D758" s="57"/>
      <c r="E758" s="57"/>
      <c r="F758" s="57"/>
      <c r="G758" s="57"/>
      <c r="L758" s="57"/>
      <c r="M758" s="57"/>
    </row>
    <row r="759">
      <c r="C759" s="57"/>
      <c r="D759" s="57"/>
      <c r="E759" s="57"/>
      <c r="F759" s="57"/>
      <c r="G759" s="57"/>
      <c r="L759" s="57"/>
      <c r="M759" s="57"/>
    </row>
    <row r="760">
      <c r="C760" s="57"/>
      <c r="D760" s="57"/>
      <c r="E760" s="57"/>
      <c r="F760" s="57"/>
      <c r="G760" s="57"/>
      <c r="L760" s="57"/>
      <c r="M760" s="57"/>
    </row>
    <row r="761">
      <c r="C761" s="57"/>
      <c r="D761" s="57"/>
      <c r="E761" s="57"/>
      <c r="F761" s="57"/>
      <c r="G761" s="57"/>
      <c r="L761" s="57"/>
      <c r="M761" s="57"/>
    </row>
    <row r="762">
      <c r="C762" s="57"/>
      <c r="D762" s="57"/>
      <c r="E762" s="57"/>
      <c r="F762" s="57"/>
      <c r="G762" s="57"/>
      <c r="L762" s="57"/>
      <c r="M762" s="57"/>
    </row>
    <row r="763">
      <c r="C763" s="57"/>
      <c r="D763" s="57"/>
      <c r="E763" s="57"/>
      <c r="F763" s="57"/>
      <c r="G763" s="57"/>
      <c r="L763" s="57"/>
      <c r="M763" s="57"/>
    </row>
    <row r="764">
      <c r="C764" s="57"/>
      <c r="D764" s="57"/>
      <c r="E764" s="57"/>
      <c r="F764" s="57"/>
      <c r="G764" s="57"/>
      <c r="L764" s="57"/>
      <c r="M764" s="57"/>
    </row>
    <row r="765">
      <c r="C765" s="57"/>
      <c r="D765" s="57"/>
      <c r="E765" s="57"/>
      <c r="F765" s="57"/>
      <c r="G765" s="57"/>
      <c r="L765" s="57"/>
      <c r="M765" s="57"/>
    </row>
    <row r="766">
      <c r="C766" s="57"/>
      <c r="D766" s="57"/>
      <c r="E766" s="57"/>
      <c r="F766" s="57"/>
      <c r="G766" s="57"/>
      <c r="L766" s="57"/>
      <c r="M766" s="57"/>
    </row>
    <row r="767">
      <c r="C767" s="57"/>
      <c r="D767" s="57"/>
      <c r="E767" s="57"/>
      <c r="F767" s="57"/>
      <c r="G767" s="57"/>
      <c r="L767" s="57"/>
      <c r="M767" s="57"/>
    </row>
    <row r="768">
      <c r="C768" s="57"/>
      <c r="D768" s="57"/>
      <c r="E768" s="57"/>
      <c r="F768" s="57"/>
      <c r="G768" s="57"/>
      <c r="L768" s="57"/>
      <c r="M768" s="57"/>
    </row>
    <row r="769">
      <c r="C769" s="57"/>
      <c r="D769" s="57"/>
      <c r="E769" s="57"/>
      <c r="F769" s="57"/>
      <c r="G769" s="57"/>
      <c r="L769" s="57"/>
      <c r="M769" s="57"/>
    </row>
    <row r="770">
      <c r="C770" s="57"/>
      <c r="D770" s="57"/>
      <c r="E770" s="57"/>
      <c r="F770" s="57"/>
      <c r="G770" s="57"/>
      <c r="L770" s="57"/>
      <c r="M770" s="57"/>
    </row>
    <row r="771">
      <c r="C771" s="57"/>
      <c r="D771" s="57"/>
      <c r="E771" s="57"/>
      <c r="F771" s="57"/>
      <c r="G771" s="57"/>
      <c r="L771" s="57"/>
      <c r="M771" s="57"/>
    </row>
    <row r="772">
      <c r="C772" s="57"/>
      <c r="D772" s="57"/>
      <c r="E772" s="57"/>
      <c r="F772" s="57"/>
      <c r="G772" s="57"/>
      <c r="L772" s="57"/>
      <c r="M772" s="57"/>
    </row>
    <row r="773">
      <c r="C773" s="57"/>
      <c r="D773" s="57"/>
      <c r="E773" s="57"/>
      <c r="F773" s="57"/>
      <c r="G773" s="57"/>
      <c r="L773" s="57"/>
      <c r="M773" s="57"/>
    </row>
    <row r="774">
      <c r="C774" s="57"/>
      <c r="D774" s="57"/>
      <c r="E774" s="57"/>
      <c r="F774" s="57"/>
      <c r="G774" s="57"/>
      <c r="L774" s="57"/>
      <c r="M774" s="57"/>
    </row>
    <row r="775">
      <c r="C775" s="57"/>
      <c r="D775" s="57"/>
      <c r="E775" s="57"/>
      <c r="F775" s="57"/>
      <c r="G775" s="57"/>
      <c r="L775" s="57"/>
      <c r="M775" s="57"/>
    </row>
    <row r="776">
      <c r="C776" s="57"/>
      <c r="D776" s="57"/>
      <c r="E776" s="57"/>
      <c r="F776" s="57"/>
      <c r="G776" s="57"/>
      <c r="L776" s="57"/>
      <c r="M776" s="57"/>
    </row>
    <row r="777">
      <c r="C777" s="57"/>
      <c r="D777" s="57"/>
      <c r="E777" s="57"/>
      <c r="F777" s="57"/>
      <c r="G777" s="57"/>
      <c r="L777" s="57"/>
      <c r="M777" s="57"/>
    </row>
    <row r="778">
      <c r="C778" s="57"/>
      <c r="D778" s="57"/>
      <c r="E778" s="57"/>
      <c r="F778" s="57"/>
      <c r="G778" s="57"/>
      <c r="L778" s="57"/>
      <c r="M778" s="57"/>
    </row>
    <row r="779">
      <c r="C779" s="57"/>
      <c r="D779" s="57"/>
      <c r="E779" s="57"/>
      <c r="F779" s="57"/>
      <c r="G779" s="57"/>
      <c r="L779" s="57"/>
      <c r="M779" s="57"/>
    </row>
    <row r="780">
      <c r="C780" s="57"/>
      <c r="D780" s="57"/>
      <c r="E780" s="57"/>
      <c r="F780" s="57"/>
      <c r="G780" s="57"/>
      <c r="L780" s="57"/>
      <c r="M780" s="57"/>
    </row>
    <row r="781">
      <c r="C781" s="57"/>
      <c r="D781" s="57"/>
      <c r="E781" s="57"/>
      <c r="F781" s="57"/>
      <c r="G781" s="57"/>
      <c r="L781" s="57"/>
      <c r="M781" s="57"/>
    </row>
    <row r="782">
      <c r="C782" s="57"/>
      <c r="D782" s="57"/>
      <c r="E782" s="57"/>
      <c r="F782" s="57"/>
      <c r="G782" s="57"/>
      <c r="L782" s="57"/>
      <c r="M782" s="57"/>
    </row>
    <row r="783">
      <c r="C783" s="57"/>
      <c r="D783" s="57"/>
      <c r="E783" s="57"/>
      <c r="F783" s="57"/>
      <c r="G783" s="57"/>
      <c r="L783" s="57"/>
      <c r="M783" s="57"/>
    </row>
    <row r="784">
      <c r="C784" s="57"/>
      <c r="D784" s="57"/>
      <c r="E784" s="57"/>
      <c r="F784" s="57"/>
      <c r="G784" s="57"/>
      <c r="L784" s="57"/>
      <c r="M784" s="57"/>
    </row>
    <row r="785">
      <c r="C785" s="57"/>
      <c r="D785" s="57"/>
      <c r="E785" s="57"/>
      <c r="F785" s="57"/>
      <c r="G785" s="57"/>
      <c r="L785" s="57"/>
      <c r="M785" s="57"/>
    </row>
    <row r="786">
      <c r="C786" s="57"/>
      <c r="D786" s="57"/>
      <c r="E786" s="57"/>
      <c r="F786" s="57"/>
      <c r="G786" s="57"/>
      <c r="L786" s="57"/>
      <c r="M786" s="57"/>
    </row>
    <row r="787">
      <c r="C787" s="57"/>
      <c r="D787" s="57"/>
      <c r="E787" s="57"/>
      <c r="F787" s="57"/>
      <c r="G787" s="57"/>
      <c r="L787" s="57"/>
      <c r="M787" s="57"/>
    </row>
    <row r="788">
      <c r="C788" s="57"/>
      <c r="D788" s="57"/>
      <c r="E788" s="57"/>
      <c r="F788" s="57"/>
      <c r="G788" s="57"/>
      <c r="L788" s="57"/>
      <c r="M788" s="57"/>
    </row>
    <row r="789">
      <c r="C789" s="57"/>
      <c r="D789" s="57"/>
      <c r="E789" s="57"/>
      <c r="F789" s="57"/>
      <c r="G789" s="57"/>
      <c r="L789" s="57"/>
      <c r="M789" s="57"/>
    </row>
    <row r="790">
      <c r="C790" s="57"/>
      <c r="D790" s="57"/>
      <c r="E790" s="57"/>
      <c r="F790" s="57"/>
      <c r="G790" s="57"/>
      <c r="L790" s="57"/>
      <c r="M790" s="57"/>
    </row>
    <row r="791">
      <c r="C791" s="57"/>
      <c r="D791" s="57"/>
      <c r="E791" s="57"/>
      <c r="F791" s="57"/>
      <c r="G791" s="57"/>
      <c r="L791" s="57"/>
      <c r="M791" s="57"/>
    </row>
    <row r="792">
      <c r="C792" s="57"/>
      <c r="D792" s="57"/>
      <c r="E792" s="57"/>
      <c r="F792" s="57"/>
      <c r="G792" s="57"/>
      <c r="L792" s="57"/>
      <c r="M792" s="57"/>
    </row>
    <row r="793">
      <c r="C793" s="57"/>
      <c r="D793" s="57"/>
      <c r="E793" s="57"/>
      <c r="F793" s="57"/>
      <c r="G793" s="57"/>
      <c r="L793" s="57"/>
      <c r="M793" s="57"/>
    </row>
    <row r="794">
      <c r="C794" s="57"/>
      <c r="D794" s="57"/>
      <c r="E794" s="57"/>
      <c r="F794" s="57"/>
      <c r="G794" s="57"/>
      <c r="L794" s="57"/>
      <c r="M794" s="57"/>
    </row>
    <row r="795">
      <c r="C795" s="57"/>
      <c r="D795" s="57"/>
      <c r="E795" s="57"/>
      <c r="F795" s="57"/>
      <c r="G795" s="57"/>
      <c r="L795" s="57"/>
      <c r="M795" s="57"/>
    </row>
    <row r="796">
      <c r="C796" s="57"/>
      <c r="D796" s="57"/>
      <c r="E796" s="57"/>
      <c r="F796" s="57"/>
      <c r="G796" s="57"/>
      <c r="L796" s="57"/>
      <c r="M796" s="57"/>
    </row>
    <row r="797">
      <c r="C797" s="57"/>
      <c r="D797" s="57"/>
      <c r="E797" s="57"/>
      <c r="F797" s="57"/>
      <c r="G797" s="57"/>
      <c r="L797" s="57"/>
      <c r="M797" s="57"/>
    </row>
    <row r="798">
      <c r="C798" s="57"/>
      <c r="D798" s="57"/>
      <c r="E798" s="57"/>
      <c r="F798" s="57"/>
      <c r="G798" s="57"/>
      <c r="L798" s="57"/>
      <c r="M798" s="57"/>
    </row>
    <row r="799">
      <c r="C799" s="57"/>
      <c r="D799" s="57"/>
      <c r="E799" s="57"/>
      <c r="F799" s="57"/>
      <c r="G799" s="57"/>
      <c r="L799" s="57"/>
      <c r="M799" s="57"/>
    </row>
    <row r="800">
      <c r="C800" s="57"/>
      <c r="D800" s="57"/>
      <c r="E800" s="57"/>
      <c r="F800" s="57"/>
      <c r="G800" s="57"/>
      <c r="L800" s="57"/>
      <c r="M800" s="57"/>
    </row>
    <row r="801">
      <c r="C801" s="57"/>
      <c r="D801" s="57"/>
      <c r="E801" s="57"/>
      <c r="F801" s="57"/>
      <c r="G801" s="57"/>
      <c r="L801" s="57"/>
      <c r="M801" s="57"/>
    </row>
    <row r="802">
      <c r="C802" s="57"/>
      <c r="D802" s="57"/>
      <c r="E802" s="57"/>
      <c r="F802" s="57"/>
      <c r="G802" s="57"/>
      <c r="L802" s="57"/>
      <c r="M802" s="57"/>
    </row>
    <row r="803">
      <c r="C803" s="57"/>
      <c r="D803" s="57"/>
      <c r="E803" s="57"/>
      <c r="F803" s="57"/>
      <c r="G803" s="57"/>
      <c r="L803" s="57"/>
      <c r="M803" s="57"/>
    </row>
    <row r="804">
      <c r="C804" s="57"/>
      <c r="D804" s="57"/>
      <c r="E804" s="57"/>
      <c r="F804" s="57"/>
      <c r="G804" s="57"/>
      <c r="L804" s="57"/>
      <c r="M804" s="57"/>
    </row>
    <row r="805">
      <c r="C805" s="57"/>
      <c r="D805" s="57"/>
      <c r="E805" s="57"/>
      <c r="F805" s="57"/>
      <c r="G805" s="57"/>
      <c r="L805" s="57"/>
      <c r="M805" s="57"/>
    </row>
    <row r="806">
      <c r="C806" s="57"/>
      <c r="D806" s="57"/>
      <c r="E806" s="57"/>
      <c r="F806" s="57"/>
      <c r="G806" s="57"/>
      <c r="L806" s="57"/>
      <c r="M806" s="57"/>
    </row>
    <row r="807">
      <c r="C807" s="57"/>
      <c r="D807" s="57"/>
      <c r="E807" s="57"/>
      <c r="F807" s="57"/>
      <c r="G807" s="57"/>
      <c r="L807" s="57"/>
      <c r="M807" s="57"/>
    </row>
    <row r="808">
      <c r="C808" s="57"/>
      <c r="D808" s="57"/>
      <c r="E808" s="57"/>
      <c r="F808" s="57"/>
      <c r="G808" s="57"/>
      <c r="L808" s="57"/>
      <c r="M808" s="57"/>
    </row>
    <row r="809">
      <c r="C809" s="57"/>
      <c r="D809" s="57"/>
      <c r="E809" s="57"/>
      <c r="F809" s="57"/>
      <c r="G809" s="57"/>
      <c r="L809" s="57"/>
      <c r="M809" s="57"/>
    </row>
    <row r="810">
      <c r="C810" s="57"/>
      <c r="D810" s="57"/>
      <c r="E810" s="57"/>
      <c r="F810" s="57"/>
      <c r="G810" s="57"/>
      <c r="L810" s="57"/>
      <c r="M810" s="57"/>
    </row>
    <row r="811">
      <c r="C811" s="57"/>
      <c r="D811" s="57"/>
      <c r="E811" s="57"/>
      <c r="F811" s="57"/>
      <c r="G811" s="57"/>
      <c r="L811" s="57"/>
      <c r="M811" s="57"/>
    </row>
    <row r="812">
      <c r="C812" s="57"/>
      <c r="D812" s="57"/>
      <c r="E812" s="57"/>
      <c r="F812" s="57"/>
      <c r="G812" s="57"/>
      <c r="L812" s="57"/>
      <c r="M812" s="57"/>
    </row>
    <row r="813">
      <c r="C813" s="57"/>
      <c r="D813" s="57"/>
      <c r="E813" s="57"/>
      <c r="F813" s="57"/>
      <c r="G813" s="57"/>
      <c r="L813" s="57"/>
      <c r="M813" s="57"/>
    </row>
    <row r="814">
      <c r="C814" s="57"/>
      <c r="D814" s="57"/>
      <c r="E814" s="57"/>
      <c r="F814" s="57"/>
      <c r="G814" s="57"/>
      <c r="L814" s="57"/>
      <c r="M814" s="57"/>
    </row>
    <row r="815">
      <c r="C815" s="57"/>
      <c r="D815" s="57"/>
      <c r="E815" s="57"/>
      <c r="F815" s="57"/>
      <c r="G815" s="57"/>
      <c r="L815" s="57"/>
      <c r="M815" s="57"/>
    </row>
    <row r="816">
      <c r="C816" s="57"/>
      <c r="D816" s="57"/>
      <c r="E816" s="57"/>
      <c r="F816" s="57"/>
      <c r="G816" s="57"/>
      <c r="L816" s="57"/>
      <c r="M816" s="57"/>
    </row>
    <row r="817">
      <c r="C817" s="57"/>
      <c r="D817" s="57"/>
      <c r="E817" s="57"/>
      <c r="F817" s="57"/>
      <c r="G817" s="57"/>
      <c r="L817" s="57"/>
      <c r="M817" s="57"/>
    </row>
    <row r="818">
      <c r="C818" s="57"/>
      <c r="D818" s="57"/>
      <c r="E818" s="57"/>
      <c r="F818" s="57"/>
      <c r="G818" s="57"/>
      <c r="L818" s="57"/>
      <c r="M818" s="57"/>
    </row>
    <row r="819">
      <c r="C819" s="57"/>
      <c r="D819" s="57"/>
      <c r="E819" s="57"/>
      <c r="F819" s="57"/>
      <c r="G819" s="57"/>
      <c r="L819" s="57"/>
      <c r="M819" s="57"/>
    </row>
    <row r="820">
      <c r="C820" s="57"/>
      <c r="D820" s="57"/>
      <c r="E820" s="57"/>
      <c r="F820" s="57"/>
      <c r="G820" s="57"/>
      <c r="L820" s="57"/>
      <c r="M820" s="57"/>
    </row>
    <row r="821">
      <c r="C821" s="57"/>
      <c r="D821" s="57"/>
      <c r="E821" s="57"/>
      <c r="F821" s="57"/>
      <c r="G821" s="57"/>
      <c r="L821" s="57"/>
      <c r="M821" s="57"/>
    </row>
    <row r="822">
      <c r="C822" s="57"/>
      <c r="D822" s="57"/>
      <c r="E822" s="57"/>
      <c r="F822" s="57"/>
      <c r="G822" s="57"/>
      <c r="L822" s="57"/>
      <c r="M822" s="57"/>
    </row>
    <row r="823">
      <c r="C823" s="57"/>
      <c r="D823" s="57"/>
      <c r="E823" s="57"/>
      <c r="F823" s="57"/>
      <c r="G823" s="57"/>
      <c r="L823" s="57"/>
      <c r="M823" s="57"/>
    </row>
    <row r="824">
      <c r="C824" s="57"/>
      <c r="D824" s="57"/>
      <c r="E824" s="57"/>
      <c r="F824" s="57"/>
      <c r="G824" s="57"/>
      <c r="L824" s="57"/>
      <c r="M824" s="57"/>
    </row>
    <row r="825">
      <c r="C825" s="57"/>
      <c r="D825" s="57"/>
      <c r="E825" s="57"/>
      <c r="F825" s="57"/>
      <c r="G825" s="57"/>
      <c r="L825" s="57"/>
      <c r="M825" s="57"/>
    </row>
    <row r="826">
      <c r="C826" s="57"/>
      <c r="D826" s="57"/>
      <c r="E826" s="57"/>
      <c r="F826" s="57"/>
      <c r="G826" s="57"/>
      <c r="L826" s="57"/>
      <c r="M826" s="57"/>
    </row>
    <row r="827">
      <c r="C827" s="57"/>
      <c r="D827" s="57"/>
      <c r="E827" s="57"/>
      <c r="F827" s="57"/>
      <c r="G827" s="57"/>
      <c r="L827" s="57"/>
      <c r="M827" s="57"/>
    </row>
    <row r="828">
      <c r="C828" s="57"/>
      <c r="D828" s="57"/>
      <c r="E828" s="57"/>
      <c r="F828" s="57"/>
      <c r="G828" s="57"/>
      <c r="L828" s="57"/>
      <c r="M828" s="57"/>
    </row>
    <row r="829">
      <c r="C829" s="57"/>
      <c r="D829" s="57"/>
      <c r="E829" s="57"/>
      <c r="F829" s="57"/>
      <c r="G829" s="57"/>
      <c r="L829" s="57"/>
      <c r="M829" s="57"/>
    </row>
    <row r="830">
      <c r="C830" s="57"/>
      <c r="D830" s="57"/>
      <c r="E830" s="57"/>
      <c r="F830" s="57"/>
      <c r="G830" s="57"/>
      <c r="L830" s="57"/>
      <c r="M830" s="57"/>
    </row>
    <row r="831">
      <c r="C831" s="57"/>
      <c r="D831" s="57"/>
      <c r="E831" s="57"/>
      <c r="F831" s="57"/>
      <c r="G831" s="57"/>
      <c r="L831" s="57"/>
      <c r="M831" s="57"/>
    </row>
    <row r="832">
      <c r="C832" s="57"/>
      <c r="D832" s="57"/>
      <c r="E832" s="57"/>
      <c r="F832" s="57"/>
      <c r="G832" s="57"/>
      <c r="L832" s="57"/>
      <c r="M832" s="57"/>
    </row>
    <row r="833">
      <c r="C833" s="57"/>
      <c r="D833" s="57"/>
      <c r="E833" s="57"/>
      <c r="F833" s="57"/>
      <c r="G833" s="57"/>
      <c r="L833" s="57"/>
      <c r="M833" s="57"/>
    </row>
    <row r="834">
      <c r="C834" s="57"/>
      <c r="D834" s="57"/>
      <c r="E834" s="57"/>
      <c r="F834" s="57"/>
      <c r="G834" s="57"/>
      <c r="L834" s="57"/>
      <c r="M834" s="57"/>
    </row>
    <row r="835">
      <c r="C835" s="57"/>
      <c r="D835" s="57"/>
      <c r="E835" s="57"/>
      <c r="F835" s="57"/>
      <c r="G835" s="57"/>
      <c r="L835" s="57"/>
      <c r="M835" s="57"/>
    </row>
    <row r="836">
      <c r="C836" s="57"/>
      <c r="D836" s="57"/>
      <c r="E836" s="57"/>
      <c r="F836" s="57"/>
      <c r="G836" s="57"/>
      <c r="L836" s="57"/>
      <c r="M836" s="57"/>
    </row>
    <row r="837">
      <c r="C837" s="57"/>
      <c r="D837" s="57"/>
      <c r="E837" s="57"/>
      <c r="F837" s="57"/>
      <c r="G837" s="57"/>
      <c r="L837" s="57"/>
      <c r="M837" s="57"/>
    </row>
    <row r="838">
      <c r="C838" s="57"/>
      <c r="D838" s="57"/>
      <c r="E838" s="57"/>
      <c r="F838" s="57"/>
      <c r="G838" s="57"/>
      <c r="L838" s="57"/>
      <c r="M838" s="57"/>
    </row>
    <row r="839">
      <c r="C839" s="57"/>
      <c r="D839" s="57"/>
      <c r="E839" s="57"/>
      <c r="F839" s="57"/>
      <c r="G839" s="57"/>
      <c r="L839" s="57"/>
      <c r="M839" s="57"/>
    </row>
    <row r="840">
      <c r="C840" s="57"/>
      <c r="D840" s="57"/>
      <c r="E840" s="57"/>
      <c r="F840" s="57"/>
      <c r="G840" s="57"/>
      <c r="L840" s="57"/>
      <c r="M840" s="57"/>
    </row>
    <row r="841">
      <c r="C841" s="57"/>
      <c r="D841" s="57"/>
      <c r="E841" s="57"/>
      <c r="F841" s="57"/>
      <c r="G841" s="57"/>
      <c r="L841" s="57"/>
      <c r="M841" s="57"/>
    </row>
    <row r="842">
      <c r="C842" s="57"/>
      <c r="D842" s="57"/>
      <c r="E842" s="57"/>
      <c r="F842" s="57"/>
      <c r="G842" s="57"/>
      <c r="L842" s="57"/>
      <c r="M842" s="57"/>
    </row>
    <row r="843">
      <c r="C843" s="57"/>
      <c r="D843" s="57"/>
      <c r="E843" s="57"/>
      <c r="F843" s="57"/>
      <c r="G843" s="57"/>
      <c r="L843" s="57"/>
      <c r="M843" s="57"/>
    </row>
    <row r="844">
      <c r="C844" s="57"/>
      <c r="D844" s="57"/>
      <c r="E844" s="57"/>
      <c r="F844" s="57"/>
      <c r="G844" s="57"/>
      <c r="L844" s="57"/>
      <c r="M844" s="57"/>
    </row>
    <row r="845">
      <c r="C845" s="57"/>
      <c r="D845" s="57"/>
      <c r="E845" s="57"/>
      <c r="F845" s="57"/>
      <c r="G845" s="57"/>
      <c r="L845" s="57"/>
      <c r="M845" s="57"/>
    </row>
    <row r="846">
      <c r="C846" s="57"/>
      <c r="D846" s="57"/>
      <c r="E846" s="57"/>
      <c r="F846" s="57"/>
      <c r="G846" s="57"/>
      <c r="L846" s="57"/>
      <c r="M846" s="57"/>
    </row>
    <row r="847">
      <c r="C847" s="57"/>
      <c r="D847" s="57"/>
      <c r="E847" s="57"/>
      <c r="F847" s="57"/>
      <c r="G847" s="57"/>
      <c r="L847" s="57"/>
      <c r="M847" s="57"/>
    </row>
    <row r="848">
      <c r="C848" s="57"/>
      <c r="D848" s="57"/>
      <c r="E848" s="57"/>
      <c r="F848" s="57"/>
      <c r="G848" s="57"/>
      <c r="L848" s="57"/>
      <c r="M848" s="57"/>
    </row>
    <row r="849">
      <c r="C849" s="57"/>
      <c r="D849" s="57"/>
      <c r="E849" s="57"/>
      <c r="F849" s="57"/>
      <c r="G849" s="57"/>
      <c r="L849" s="57"/>
      <c r="M849" s="57"/>
    </row>
    <row r="850">
      <c r="C850" s="57"/>
      <c r="D850" s="57"/>
      <c r="E850" s="57"/>
      <c r="F850" s="57"/>
      <c r="G850" s="57"/>
      <c r="L850" s="57"/>
      <c r="M850" s="57"/>
    </row>
    <row r="851">
      <c r="C851" s="57"/>
      <c r="D851" s="57"/>
      <c r="E851" s="57"/>
      <c r="F851" s="57"/>
      <c r="G851" s="57"/>
      <c r="L851" s="57"/>
      <c r="M851" s="57"/>
    </row>
    <row r="852">
      <c r="C852" s="57"/>
      <c r="D852" s="57"/>
      <c r="E852" s="57"/>
      <c r="F852" s="57"/>
      <c r="G852" s="57"/>
      <c r="L852" s="57"/>
      <c r="M852" s="57"/>
    </row>
    <row r="853">
      <c r="C853" s="57"/>
      <c r="D853" s="57"/>
      <c r="E853" s="57"/>
      <c r="F853" s="57"/>
      <c r="G853" s="57"/>
      <c r="L853" s="57"/>
      <c r="M853" s="57"/>
    </row>
    <row r="854">
      <c r="C854" s="57"/>
      <c r="D854" s="57"/>
      <c r="E854" s="57"/>
      <c r="F854" s="57"/>
      <c r="G854" s="57"/>
      <c r="L854" s="57"/>
      <c r="M854" s="57"/>
    </row>
    <row r="855">
      <c r="C855" s="57"/>
      <c r="D855" s="57"/>
      <c r="E855" s="57"/>
      <c r="F855" s="57"/>
      <c r="G855" s="57"/>
      <c r="L855" s="57"/>
      <c r="M855" s="57"/>
    </row>
    <row r="856">
      <c r="C856" s="57"/>
      <c r="D856" s="57"/>
      <c r="E856" s="57"/>
      <c r="F856" s="57"/>
      <c r="G856" s="57"/>
      <c r="L856" s="57"/>
      <c r="M856" s="57"/>
    </row>
    <row r="857">
      <c r="C857" s="57"/>
      <c r="D857" s="57"/>
      <c r="E857" s="57"/>
      <c r="F857" s="57"/>
      <c r="G857" s="57"/>
      <c r="L857" s="57"/>
      <c r="M857" s="57"/>
    </row>
    <row r="858">
      <c r="C858" s="57"/>
      <c r="D858" s="57"/>
      <c r="E858" s="57"/>
      <c r="F858" s="57"/>
      <c r="G858" s="57"/>
      <c r="L858" s="57"/>
      <c r="M858" s="57"/>
    </row>
    <row r="859">
      <c r="C859" s="57"/>
      <c r="D859" s="57"/>
      <c r="E859" s="57"/>
      <c r="F859" s="57"/>
      <c r="G859" s="57"/>
      <c r="L859" s="57"/>
      <c r="M859" s="57"/>
    </row>
    <row r="860">
      <c r="C860" s="57"/>
      <c r="D860" s="57"/>
      <c r="E860" s="57"/>
      <c r="F860" s="57"/>
      <c r="G860" s="57"/>
      <c r="L860" s="57"/>
      <c r="M860" s="57"/>
    </row>
    <row r="861">
      <c r="C861" s="57"/>
      <c r="D861" s="57"/>
      <c r="E861" s="57"/>
      <c r="F861" s="57"/>
      <c r="G861" s="57"/>
      <c r="L861" s="57"/>
      <c r="M861" s="57"/>
    </row>
    <row r="862">
      <c r="C862" s="57"/>
      <c r="D862" s="57"/>
      <c r="E862" s="57"/>
      <c r="F862" s="57"/>
      <c r="G862" s="57"/>
      <c r="L862" s="57"/>
      <c r="M862" s="57"/>
    </row>
    <row r="863">
      <c r="C863" s="57"/>
      <c r="D863" s="57"/>
      <c r="E863" s="57"/>
      <c r="F863" s="57"/>
      <c r="G863" s="57"/>
      <c r="L863" s="57"/>
      <c r="M863" s="57"/>
    </row>
    <row r="864">
      <c r="C864" s="57"/>
      <c r="D864" s="57"/>
      <c r="E864" s="57"/>
      <c r="F864" s="57"/>
      <c r="G864" s="57"/>
      <c r="L864" s="57"/>
      <c r="M864" s="57"/>
    </row>
    <row r="865">
      <c r="C865" s="57"/>
      <c r="D865" s="57"/>
      <c r="E865" s="57"/>
      <c r="F865" s="57"/>
      <c r="G865" s="57"/>
      <c r="L865" s="57"/>
      <c r="M865" s="57"/>
    </row>
    <row r="866">
      <c r="C866" s="57"/>
      <c r="D866" s="57"/>
      <c r="E866" s="57"/>
      <c r="F866" s="57"/>
      <c r="G866" s="57"/>
      <c r="L866" s="57"/>
      <c r="M866" s="57"/>
    </row>
    <row r="867">
      <c r="C867" s="57"/>
      <c r="D867" s="57"/>
      <c r="E867" s="57"/>
      <c r="F867" s="57"/>
      <c r="G867" s="57"/>
      <c r="L867" s="57"/>
      <c r="M867" s="57"/>
    </row>
    <row r="868">
      <c r="C868" s="57"/>
      <c r="D868" s="57"/>
      <c r="E868" s="57"/>
      <c r="F868" s="57"/>
      <c r="G868" s="57"/>
      <c r="L868" s="57"/>
      <c r="M868" s="57"/>
    </row>
    <row r="869">
      <c r="C869" s="57"/>
      <c r="D869" s="57"/>
      <c r="E869" s="57"/>
      <c r="F869" s="57"/>
      <c r="G869" s="57"/>
      <c r="L869" s="57"/>
      <c r="M869" s="57"/>
    </row>
    <row r="870">
      <c r="C870" s="57"/>
      <c r="D870" s="57"/>
      <c r="E870" s="57"/>
      <c r="F870" s="57"/>
      <c r="G870" s="57"/>
      <c r="L870" s="57"/>
      <c r="M870" s="57"/>
    </row>
    <row r="871">
      <c r="C871" s="57"/>
      <c r="D871" s="57"/>
      <c r="E871" s="57"/>
      <c r="F871" s="57"/>
      <c r="G871" s="57"/>
      <c r="L871" s="57"/>
      <c r="M871" s="57"/>
    </row>
    <row r="872">
      <c r="C872" s="57"/>
      <c r="D872" s="57"/>
      <c r="E872" s="57"/>
      <c r="F872" s="57"/>
      <c r="G872" s="57"/>
      <c r="L872" s="57"/>
      <c r="M872" s="57"/>
    </row>
    <row r="873">
      <c r="C873" s="57"/>
      <c r="D873" s="57"/>
      <c r="E873" s="57"/>
      <c r="F873" s="57"/>
      <c r="G873" s="57"/>
      <c r="L873" s="57"/>
      <c r="M873" s="57"/>
    </row>
    <row r="874">
      <c r="C874" s="57"/>
      <c r="D874" s="57"/>
      <c r="E874" s="57"/>
      <c r="F874" s="57"/>
      <c r="G874" s="57"/>
      <c r="L874" s="57"/>
      <c r="M874" s="57"/>
    </row>
    <row r="875">
      <c r="C875" s="57"/>
      <c r="D875" s="57"/>
      <c r="E875" s="57"/>
      <c r="F875" s="57"/>
      <c r="G875" s="57"/>
      <c r="L875" s="57"/>
      <c r="M875" s="57"/>
    </row>
    <row r="876">
      <c r="C876" s="57"/>
      <c r="D876" s="57"/>
      <c r="E876" s="57"/>
      <c r="F876" s="57"/>
      <c r="G876" s="57"/>
      <c r="L876" s="57"/>
      <c r="M876" s="57"/>
    </row>
    <row r="877">
      <c r="C877" s="57"/>
      <c r="D877" s="57"/>
      <c r="E877" s="57"/>
      <c r="F877" s="57"/>
      <c r="G877" s="57"/>
      <c r="L877" s="57"/>
      <c r="M877" s="57"/>
    </row>
    <row r="878">
      <c r="C878" s="57"/>
      <c r="D878" s="57"/>
      <c r="E878" s="57"/>
      <c r="F878" s="57"/>
      <c r="G878" s="57"/>
      <c r="L878" s="57"/>
      <c r="M878" s="57"/>
    </row>
    <row r="879">
      <c r="C879" s="57"/>
      <c r="D879" s="57"/>
      <c r="E879" s="57"/>
      <c r="F879" s="57"/>
      <c r="G879" s="57"/>
      <c r="L879" s="57"/>
      <c r="M879" s="57"/>
    </row>
    <row r="880">
      <c r="C880" s="57"/>
      <c r="D880" s="57"/>
      <c r="E880" s="57"/>
      <c r="F880" s="57"/>
      <c r="G880" s="57"/>
      <c r="L880" s="57"/>
      <c r="M880" s="57"/>
    </row>
    <row r="881">
      <c r="C881" s="57"/>
      <c r="D881" s="57"/>
      <c r="E881" s="57"/>
      <c r="F881" s="57"/>
      <c r="G881" s="57"/>
      <c r="L881" s="57"/>
      <c r="M881" s="57"/>
    </row>
    <row r="882">
      <c r="C882" s="57"/>
      <c r="D882" s="57"/>
      <c r="E882" s="57"/>
      <c r="F882" s="57"/>
      <c r="G882" s="57"/>
      <c r="L882" s="57"/>
      <c r="M882" s="57"/>
    </row>
    <row r="883">
      <c r="C883" s="57"/>
      <c r="D883" s="57"/>
      <c r="E883" s="57"/>
      <c r="F883" s="57"/>
      <c r="G883" s="57"/>
      <c r="L883" s="57"/>
      <c r="M883" s="57"/>
    </row>
    <row r="884">
      <c r="C884" s="57"/>
      <c r="D884" s="57"/>
      <c r="E884" s="57"/>
      <c r="F884" s="57"/>
      <c r="G884" s="57"/>
      <c r="L884" s="57"/>
      <c r="M884" s="57"/>
    </row>
    <row r="885">
      <c r="C885" s="57"/>
      <c r="D885" s="57"/>
      <c r="E885" s="57"/>
      <c r="F885" s="57"/>
      <c r="G885" s="57"/>
      <c r="L885" s="57"/>
      <c r="M885" s="57"/>
    </row>
    <row r="886">
      <c r="C886" s="57"/>
      <c r="D886" s="57"/>
      <c r="E886" s="57"/>
      <c r="F886" s="57"/>
      <c r="G886" s="57"/>
      <c r="L886" s="57"/>
      <c r="M886" s="57"/>
    </row>
    <row r="887">
      <c r="C887" s="57"/>
      <c r="D887" s="57"/>
      <c r="E887" s="57"/>
      <c r="F887" s="57"/>
      <c r="G887" s="57"/>
      <c r="L887" s="57"/>
      <c r="M887" s="57"/>
    </row>
    <row r="888">
      <c r="C888" s="57"/>
      <c r="D888" s="57"/>
      <c r="E888" s="57"/>
      <c r="F888" s="57"/>
      <c r="G888" s="57"/>
      <c r="L888" s="57"/>
      <c r="M888" s="57"/>
    </row>
    <row r="889">
      <c r="C889" s="57"/>
      <c r="D889" s="57"/>
      <c r="E889" s="57"/>
      <c r="F889" s="57"/>
      <c r="G889" s="57"/>
      <c r="L889" s="57"/>
      <c r="M889" s="57"/>
    </row>
    <row r="890">
      <c r="C890" s="57"/>
      <c r="D890" s="57"/>
      <c r="E890" s="57"/>
      <c r="F890" s="57"/>
      <c r="G890" s="57"/>
      <c r="L890" s="57"/>
      <c r="M890" s="57"/>
    </row>
    <row r="891">
      <c r="C891" s="57"/>
      <c r="D891" s="57"/>
      <c r="E891" s="57"/>
      <c r="F891" s="57"/>
      <c r="G891" s="57"/>
      <c r="L891" s="57"/>
      <c r="M891" s="57"/>
    </row>
    <row r="892">
      <c r="C892" s="57"/>
      <c r="D892" s="57"/>
      <c r="E892" s="57"/>
      <c r="F892" s="57"/>
      <c r="G892" s="57"/>
      <c r="L892" s="57"/>
      <c r="M892" s="57"/>
    </row>
    <row r="893">
      <c r="C893" s="57"/>
      <c r="D893" s="57"/>
      <c r="E893" s="57"/>
      <c r="F893" s="57"/>
      <c r="G893" s="57"/>
      <c r="L893" s="57"/>
      <c r="M893" s="57"/>
    </row>
    <row r="894">
      <c r="C894" s="57"/>
      <c r="D894" s="57"/>
      <c r="E894" s="57"/>
      <c r="F894" s="57"/>
      <c r="G894" s="57"/>
      <c r="L894" s="57"/>
      <c r="M894" s="57"/>
    </row>
    <row r="895">
      <c r="C895" s="57"/>
      <c r="D895" s="57"/>
      <c r="E895" s="57"/>
      <c r="F895" s="57"/>
      <c r="G895" s="57"/>
      <c r="L895" s="57"/>
      <c r="M895" s="57"/>
    </row>
    <row r="896">
      <c r="C896" s="57"/>
      <c r="D896" s="57"/>
      <c r="E896" s="57"/>
      <c r="F896" s="57"/>
      <c r="G896" s="57"/>
      <c r="L896" s="57"/>
      <c r="M896" s="57"/>
    </row>
    <row r="897">
      <c r="C897" s="57"/>
      <c r="D897" s="57"/>
      <c r="E897" s="57"/>
      <c r="F897" s="57"/>
      <c r="G897" s="57"/>
      <c r="L897" s="57"/>
      <c r="M897" s="57"/>
    </row>
    <row r="898">
      <c r="C898" s="57"/>
      <c r="D898" s="57"/>
      <c r="E898" s="57"/>
      <c r="F898" s="57"/>
      <c r="G898" s="57"/>
      <c r="L898" s="57"/>
      <c r="M898" s="57"/>
    </row>
    <row r="899">
      <c r="C899" s="57"/>
      <c r="D899" s="57"/>
      <c r="E899" s="57"/>
      <c r="F899" s="57"/>
      <c r="G899" s="57"/>
      <c r="L899" s="57"/>
      <c r="M899" s="57"/>
    </row>
    <row r="900">
      <c r="C900" s="57"/>
      <c r="D900" s="57"/>
      <c r="E900" s="57"/>
      <c r="F900" s="57"/>
      <c r="G900" s="57"/>
      <c r="L900" s="57"/>
      <c r="M900" s="57"/>
    </row>
    <row r="901">
      <c r="C901" s="57"/>
      <c r="D901" s="57"/>
      <c r="E901" s="57"/>
      <c r="F901" s="57"/>
      <c r="G901" s="57"/>
      <c r="L901" s="57"/>
      <c r="M901" s="57"/>
    </row>
    <row r="902">
      <c r="C902" s="57"/>
      <c r="D902" s="57"/>
      <c r="E902" s="57"/>
      <c r="F902" s="57"/>
      <c r="G902" s="57"/>
      <c r="L902" s="57"/>
      <c r="M902" s="57"/>
    </row>
    <row r="903">
      <c r="C903" s="57"/>
      <c r="D903" s="57"/>
      <c r="E903" s="57"/>
      <c r="F903" s="57"/>
      <c r="G903" s="57"/>
      <c r="L903" s="57"/>
      <c r="M903" s="57"/>
    </row>
    <row r="904">
      <c r="C904" s="57"/>
      <c r="D904" s="57"/>
      <c r="E904" s="57"/>
      <c r="F904" s="57"/>
      <c r="G904" s="57"/>
      <c r="L904" s="57"/>
      <c r="M904" s="57"/>
    </row>
    <row r="905">
      <c r="C905" s="57"/>
      <c r="D905" s="57"/>
      <c r="E905" s="57"/>
      <c r="F905" s="57"/>
      <c r="G905" s="57"/>
      <c r="L905" s="57"/>
      <c r="M905" s="57"/>
    </row>
    <row r="906">
      <c r="C906" s="57"/>
      <c r="D906" s="57"/>
      <c r="E906" s="57"/>
      <c r="F906" s="57"/>
      <c r="G906" s="57"/>
      <c r="L906" s="57"/>
      <c r="M906" s="57"/>
    </row>
    <row r="907">
      <c r="C907" s="57"/>
      <c r="D907" s="57"/>
      <c r="E907" s="57"/>
      <c r="F907" s="57"/>
      <c r="G907" s="57"/>
      <c r="L907" s="57"/>
      <c r="M907" s="57"/>
    </row>
    <row r="908">
      <c r="C908" s="57"/>
      <c r="D908" s="57"/>
      <c r="E908" s="57"/>
      <c r="F908" s="57"/>
      <c r="G908" s="57"/>
      <c r="L908" s="57"/>
      <c r="M908" s="57"/>
    </row>
    <row r="909">
      <c r="C909" s="57"/>
      <c r="D909" s="57"/>
      <c r="E909" s="57"/>
      <c r="F909" s="57"/>
      <c r="G909" s="57"/>
      <c r="L909" s="57"/>
      <c r="M909" s="57"/>
    </row>
    <row r="910">
      <c r="C910" s="57"/>
      <c r="D910" s="57"/>
      <c r="E910" s="57"/>
      <c r="F910" s="57"/>
      <c r="G910" s="57"/>
      <c r="L910" s="57"/>
      <c r="M910" s="57"/>
    </row>
    <row r="911">
      <c r="C911" s="57"/>
      <c r="D911" s="57"/>
      <c r="E911" s="57"/>
      <c r="F911" s="57"/>
      <c r="G911" s="57"/>
      <c r="L911" s="57"/>
      <c r="M911" s="57"/>
    </row>
    <row r="912">
      <c r="C912" s="57"/>
      <c r="D912" s="57"/>
      <c r="E912" s="57"/>
      <c r="F912" s="57"/>
      <c r="G912" s="57"/>
      <c r="L912" s="57"/>
      <c r="M912" s="57"/>
    </row>
    <row r="913">
      <c r="C913" s="57"/>
      <c r="D913" s="57"/>
      <c r="E913" s="57"/>
      <c r="F913" s="57"/>
      <c r="G913" s="57"/>
      <c r="L913" s="57"/>
      <c r="M913" s="57"/>
    </row>
    <row r="914">
      <c r="C914" s="57"/>
      <c r="D914" s="57"/>
      <c r="E914" s="57"/>
      <c r="F914" s="57"/>
      <c r="G914" s="57"/>
      <c r="L914" s="57"/>
      <c r="M914" s="57"/>
    </row>
    <row r="915">
      <c r="C915" s="57"/>
      <c r="D915" s="57"/>
      <c r="E915" s="57"/>
      <c r="F915" s="57"/>
      <c r="G915" s="57"/>
      <c r="L915" s="57"/>
      <c r="M915" s="57"/>
    </row>
    <row r="916">
      <c r="C916" s="57"/>
      <c r="D916" s="57"/>
      <c r="E916" s="57"/>
      <c r="F916" s="57"/>
      <c r="G916" s="57"/>
      <c r="L916" s="57"/>
      <c r="M916" s="57"/>
    </row>
    <row r="917">
      <c r="C917" s="57"/>
      <c r="D917" s="57"/>
      <c r="E917" s="57"/>
      <c r="F917" s="57"/>
      <c r="G917" s="57"/>
      <c r="L917" s="57"/>
      <c r="M917" s="57"/>
    </row>
    <row r="918">
      <c r="C918" s="57"/>
      <c r="D918" s="57"/>
      <c r="E918" s="57"/>
      <c r="F918" s="57"/>
      <c r="G918" s="57"/>
      <c r="L918" s="57"/>
      <c r="M918" s="57"/>
    </row>
    <row r="919">
      <c r="C919" s="57"/>
      <c r="D919" s="57"/>
      <c r="E919" s="57"/>
      <c r="F919" s="57"/>
      <c r="G919" s="57"/>
      <c r="L919" s="57"/>
      <c r="M919" s="57"/>
    </row>
    <row r="920">
      <c r="C920" s="57"/>
      <c r="D920" s="57"/>
      <c r="E920" s="57"/>
      <c r="F920" s="57"/>
      <c r="G920" s="57"/>
      <c r="L920" s="57"/>
      <c r="M920" s="57"/>
    </row>
    <row r="921">
      <c r="C921" s="57"/>
      <c r="D921" s="57"/>
      <c r="E921" s="57"/>
      <c r="F921" s="57"/>
      <c r="G921" s="57"/>
      <c r="L921" s="57"/>
      <c r="M921" s="57"/>
    </row>
    <row r="922">
      <c r="C922" s="57"/>
      <c r="D922" s="57"/>
      <c r="E922" s="57"/>
      <c r="F922" s="57"/>
      <c r="G922" s="57"/>
      <c r="L922" s="57"/>
      <c r="M922" s="57"/>
    </row>
    <row r="923">
      <c r="C923" s="57"/>
      <c r="D923" s="57"/>
      <c r="E923" s="57"/>
      <c r="F923" s="57"/>
      <c r="G923" s="57"/>
      <c r="L923" s="57"/>
      <c r="M923" s="57"/>
    </row>
    <row r="924">
      <c r="C924" s="57"/>
      <c r="D924" s="57"/>
      <c r="E924" s="57"/>
      <c r="F924" s="57"/>
      <c r="G924" s="57"/>
      <c r="L924" s="57"/>
      <c r="M924" s="57"/>
    </row>
    <row r="925">
      <c r="C925" s="57"/>
      <c r="D925" s="57"/>
      <c r="E925" s="57"/>
      <c r="F925" s="57"/>
      <c r="G925" s="57"/>
      <c r="L925" s="57"/>
      <c r="M925" s="57"/>
    </row>
    <row r="926">
      <c r="C926" s="57"/>
      <c r="D926" s="57"/>
      <c r="E926" s="57"/>
      <c r="F926" s="57"/>
      <c r="G926" s="57"/>
      <c r="L926" s="57"/>
      <c r="M926" s="57"/>
    </row>
    <row r="927">
      <c r="C927" s="57"/>
      <c r="D927" s="57"/>
      <c r="E927" s="57"/>
      <c r="F927" s="57"/>
      <c r="G927" s="57"/>
      <c r="L927" s="57"/>
      <c r="M927" s="57"/>
    </row>
    <row r="928">
      <c r="C928" s="57"/>
      <c r="D928" s="57"/>
      <c r="E928" s="57"/>
      <c r="F928" s="57"/>
      <c r="G928" s="57"/>
      <c r="L928" s="57"/>
      <c r="M928" s="57"/>
    </row>
    <row r="929">
      <c r="C929" s="57"/>
      <c r="D929" s="57"/>
      <c r="E929" s="57"/>
      <c r="F929" s="57"/>
      <c r="G929" s="57"/>
      <c r="L929" s="57"/>
      <c r="M929" s="57"/>
    </row>
    <row r="930">
      <c r="C930" s="57"/>
      <c r="D930" s="57"/>
      <c r="E930" s="57"/>
      <c r="F930" s="57"/>
      <c r="G930" s="57"/>
      <c r="L930" s="57"/>
      <c r="M930" s="57"/>
    </row>
    <row r="931">
      <c r="C931" s="57"/>
      <c r="D931" s="57"/>
      <c r="E931" s="57"/>
      <c r="F931" s="57"/>
      <c r="G931" s="57"/>
      <c r="L931" s="57"/>
      <c r="M931" s="57"/>
    </row>
    <row r="932">
      <c r="C932" s="57"/>
      <c r="D932" s="57"/>
      <c r="E932" s="57"/>
      <c r="F932" s="57"/>
      <c r="G932" s="57"/>
      <c r="L932" s="57"/>
      <c r="M932" s="57"/>
    </row>
    <row r="933">
      <c r="C933" s="57"/>
      <c r="D933" s="57"/>
      <c r="E933" s="57"/>
      <c r="F933" s="57"/>
      <c r="G933" s="57"/>
      <c r="L933" s="57"/>
      <c r="M933" s="57"/>
    </row>
    <row r="934">
      <c r="C934" s="57"/>
      <c r="D934" s="57"/>
      <c r="E934" s="57"/>
      <c r="F934" s="57"/>
      <c r="G934" s="57"/>
      <c r="L934" s="57"/>
      <c r="M934" s="57"/>
    </row>
    <row r="935">
      <c r="C935" s="57"/>
      <c r="D935" s="57"/>
      <c r="E935" s="57"/>
      <c r="F935" s="57"/>
      <c r="G935" s="57"/>
      <c r="L935" s="57"/>
      <c r="M935" s="57"/>
    </row>
    <row r="936">
      <c r="C936" s="57"/>
      <c r="D936" s="57"/>
      <c r="E936" s="57"/>
      <c r="F936" s="57"/>
      <c r="G936" s="57"/>
      <c r="L936" s="57"/>
      <c r="M936" s="57"/>
    </row>
    <row r="937">
      <c r="C937" s="57"/>
      <c r="D937" s="57"/>
      <c r="E937" s="57"/>
      <c r="F937" s="57"/>
      <c r="G937" s="57"/>
      <c r="L937" s="57"/>
      <c r="M937" s="57"/>
    </row>
    <row r="938">
      <c r="C938" s="57"/>
      <c r="D938" s="57"/>
      <c r="E938" s="57"/>
      <c r="F938" s="57"/>
      <c r="G938" s="57"/>
      <c r="L938" s="57"/>
      <c r="M938" s="57"/>
    </row>
    <row r="939">
      <c r="C939" s="57"/>
      <c r="D939" s="57"/>
      <c r="E939" s="57"/>
      <c r="F939" s="57"/>
      <c r="G939" s="57"/>
      <c r="L939" s="57"/>
      <c r="M939" s="57"/>
    </row>
    <row r="940">
      <c r="C940" s="57"/>
      <c r="D940" s="57"/>
      <c r="E940" s="57"/>
      <c r="F940" s="57"/>
      <c r="G940" s="57"/>
      <c r="L940" s="57"/>
      <c r="M940" s="57"/>
    </row>
    <row r="941">
      <c r="C941" s="57"/>
      <c r="D941" s="57"/>
      <c r="E941" s="57"/>
      <c r="F941" s="57"/>
      <c r="G941" s="57"/>
      <c r="L941" s="57"/>
      <c r="M941" s="57"/>
    </row>
    <row r="942">
      <c r="C942" s="57"/>
      <c r="D942" s="57"/>
      <c r="E942" s="57"/>
      <c r="F942" s="57"/>
      <c r="G942" s="57"/>
      <c r="L942" s="57"/>
      <c r="M942" s="57"/>
    </row>
    <row r="943">
      <c r="C943" s="57"/>
      <c r="D943" s="57"/>
      <c r="E943" s="57"/>
      <c r="F943" s="57"/>
      <c r="G943" s="57"/>
      <c r="L943" s="57"/>
      <c r="M943" s="57"/>
    </row>
    <row r="944">
      <c r="C944" s="57"/>
      <c r="D944" s="57"/>
      <c r="E944" s="57"/>
      <c r="F944" s="57"/>
      <c r="G944" s="57"/>
      <c r="L944" s="57"/>
      <c r="M944" s="57"/>
    </row>
    <row r="945">
      <c r="C945" s="57"/>
      <c r="D945" s="57"/>
      <c r="E945" s="57"/>
      <c r="F945" s="57"/>
      <c r="G945" s="57"/>
      <c r="L945" s="57"/>
      <c r="M945" s="57"/>
    </row>
    <row r="946">
      <c r="C946" s="57"/>
      <c r="D946" s="57"/>
      <c r="E946" s="57"/>
      <c r="F946" s="57"/>
      <c r="G946" s="57"/>
      <c r="L946" s="57"/>
      <c r="M946" s="57"/>
    </row>
    <row r="947">
      <c r="C947" s="57"/>
      <c r="D947" s="57"/>
      <c r="E947" s="57"/>
      <c r="F947" s="57"/>
      <c r="G947" s="57"/>
      <c r="L947" s="57"/>
      <c r="M947" s="57"/>
    </row>
    <row r="948">
      <c r="C948" s="57"/>
      <c r="D948" s="57"/>
      <c r="E948" s="57"/>
      <c r="F948" s="57"/>
      <c r="G948" s="57"/>
      <c r="L948" s="57"/>
      <c r="M948" s="57"/>
    </row>
    <row r="949">
      <c r="C949" s="57"/>
      <c r="D949" s="57"/>
      <c r="E949" s="57"/>
      <c r="F949" s="57"/>
      <c r="G949" s="57"/>
      <c r="L949" s="57"/>
      <c r="M949" s="57"/>
    </row>
    <row r="950">
      <c r="C950" s="57"/>
      <c r="D950" s="57"/>
      <c r="E950" s="57"/>
      <c r="F950" s="57"/>
      <c r="G950" s="57"/>
      <c r="L950" s="57"/>
      <c r="M950" s="57"/>
    </row>
    <row r="951">
      <c r="C951" s="57"/>
      <c r="D951" s="57"/>
      <c r="E951" s="57"/>
      <c r="F951" s="57"/>
      <c r="G951" s="57"/>
      <c r="L951" s="57"/>
      <c r="M951" s="57"/>
    </row>
    <row r="952">
      <c r="C952" s="57"/>
      <c r="D952" s="57"/>
      <c r="E952" s="57"/>
      <c r="F952" s="57"/>
      <c r="G952" s="57"/>
      <c r="L952" s="57"/>
      <c r="M952" s="57"/>
    </row>
    <row r="953">
      <c r="C953" s="57"/>
      <c r="D953" s="57"/>
      <c r="E953" s="57"/>
      <c r="F953" s="57"/>
      <c r="G953" s="57"/>
      <c r="L953" s="57"/>
      <c r="M953" s="57"/>
    </row>
    <row r="954">
      <c r="C954" s="57"/>
      <c r="D954" s="57"/>
      <c r="E954" s="57"/>
      <c r="F954" s="57"/>
      <c r="G954" s="57"/>
      <c r="L954" s="57"/>
      <c r="M954" s="57"/>
    </row>
    <row r="955">
      <c r="C955" s="57"/>
      <c r="D955" s="57"/>
      <c r="E955" s="57"/>
      <c r="F955" s="57"/>
      <c r="G955" s="57"/>
      <c r="L955" s="57"/>
      <c r="M955" s="57"/>
    </row>
    <row r="956">
      <c r="C956" s="57"/>
      <c r="D956" s="57"/>
      <c r="E956" s="57"/>
      <c r="F956" s="57"/>
      <c r="G956" s="57"/>
      <c r="L956" s="57"/>
      <c r="M956" s="57"/>
    </row>
    <row r="957">
      <c r="C957" s="57"/>
      <c r="D957" s="57"/>
      <c r="E957" s="57"/>
      <c r="F957" s="57"/>
      <c r="G957" s="57"/>
      <c r="L957" s="57"/>
      <c r="M957" s="57"/>
    </row>
    <row r="958">
      <c r="C958" s="57"/>
      <c r="D958" s="57"/>
      <c r="E958" s="57"/>
      <c r="F958" s="57"/>
      <c r="G958" s="57"/>
      <c r="L958" s="57"/>
      <c r="M958" s="57"/>
    </row>
    <row r="959">
      <c r="C959" s="57"/>
      <c r="D959" s="57"/>
      <c r="E959" s="57"/>
      <c r="F959" s="57"/>
      <c r="G959" s="57"/>
      <c r="L959" s="57"/>
      <c r="M959" s="57"/>
    </row>
    <row r="960">
      <c r="C960" s="57"/>
      <c r="D960" s="57"/>
      <c r="E960" s="57"/>
      <c r="F960" s="57"/>
      <c r="G960" s="57"/>
      <c r="L960" s="57"/>
      <c r="M960" s="57"/>
    </row>
    <row r="961">
      <c r="C961" s="57"/>
      <c r="D961" s="57"/>
      <c r="E961" s="57"/>
      <c r="F961" s="57"/>
      <c r="G961" s="57"/>
      <c r="L961" s="57"/>
      <c r="M961" s="57"/>
    </row>
    <row r="962">
      <c r="C962" s="57"/>
      <c r="D962" s="57"/>
      <c r="E962" s="57"/>
      <c r="F962" s="57"/>
      <c r="G962" s="57"/>
      <c r="L962" s="57"/>
      <c r="M962" s="57"/>
    </row>
    <row r="963">
      <c r="C963" s="57"/>
      <c r="D963" s="57"/>
      <c r="E963" s="57"/>
      <c r="F963" s="57"/>
      <c r="G963" s="57"/>
      <c r="L963" s="57"/>
      <c r="M963" s="57"/>
    </row>
    <row r="964">
      <c r="C964" s="57"/>
      <c r="D964" s="57"/>
      <c r="E964" s="57"/>
      <c r="F964" s="57"/>
      <c r="G964" s="57"/>
      <c r="L964" s="57"/>
      <c r="M964" s="57"/>
    </row>
    <row r="965">
      <c r="C965" s="57"/>
      <c r="D965" s="57"/>
      <c r="E965" s="57"/>
      <c r="F965" s="57"/>
      <c r="G965" s="57"/>
      <c r="L965" s="57"/>
      <c r="M965" s="57"/>
    </row>
    <row r="966">
      <c r="C966" s="57"/>
      <c r="D966" s="57"/>
      <c r="E966" s="57"/>
      <c r="F966" s="57"/>
      <c r="G966" s="57"/>
      <c r="L966" s="57"/>
      <c r="M966" s="57"/>
    </row>
    <row r="967">
      <c r="C967" s="57"/>
      <c r="D967" s="57"/>
      <c r="E967" s="57"/>
      <c r="F967" s="57"/>
      <c r="G967" s="57"/>
      <c r="L967" s="57"/>
      <c r="M967" s="57"/>
    </row>
    <row r="968">
      <c r="C968" s="57"/>
      <c r="D968" s="57"/>
      <c r="E968" s="57"/>
      <c r="F968" s="57"/>
      <c r="G968" s="57"/>
      <c r="L968" s="57"/>
      <c r="M968" s="57"/>
    </row>
    <row r="969">
      <c r="C969" s="57"/>
      <c r="D969" s="57"/>
      <c r="E969" s="57"/>
      <c r="F969" s="57"/>
      <c r="G969" s="57"/>
      <c r="L969" s="57"/>
      <c r="M969" s="57"/>
    </row>
    <row r="970">
      <c r="C970" s="57"/>
      <c r="D970" s="57"/>
      <c r="E970" s="57"/>
      <c r="F970" s="57"/>
      <c r="G970" s="57"/>
      <c r="L970" s="57"/>
      <c r="M970" s="57"/>
    </row>
    <row r="971">
      <c r="C971" s="57"/>
      <c r="D971" s="57"/>
      <c r="E971" s="57"/>
      <c r="F971" s="57"/>
      <c r="G971" s="57"/>
      <c r="L971" s="57"/>
      <c r="M971" s="57"/>
    </row>
    <row r="972">
      <c r="C972" s="57"/>
      <c r="D972" s="57"/>
      <c r="E972" s="57"/>
      <c r="F972" s="57"/>
      <c r="G972" s="57"/>
      <c r="L972" s="57"/>
      <c r="M972" s="57"/>
    </row>
    <row r="973">
      <c r="C973" s="57"/>
      <c r="D973" s="57"/>
      <c r="E973" s="57"/>
      <c r="F973" s="57"/>
      <c r="G973" s="57"/>
      <c r="L973" s="57"/>
      <c r="M973" s="57"/>
    </row>
    <row r="974">
      <c r="C974" s="57"/>
      <c r="D974" s="57"/>
      <c r="E974" s="57"/>
      <c r="F974" s="57"/>
      <c r="G974" s="57"/>
      <c r="L974" s="57"/>
      <c r="M974" s="57"/>
    </row>
    <row r="975">
      <c r="C975" s="57"/>
      <c r="D975" s="57"/>
      <c r="E975" s="57"/>
      <c r="F975" s="57"/>
      <c r="G975" s="57"/>
      <c r="L975" s="57"/>
      <c r="M975" s="57"/>
    </row>
    <row r="976">
      <c r="C976" s="57"/>
      <c r="D976" s="57"/>
      <c r="E976" s="57"/>
      <c r="F976" s="57"/>
      <c r="G976" s="57"/>
      <c r="L976" s="57"/>
      <c r="M976" s="57"/>
    </row>
    <row r="977">
      <c r="C977" s="57"/>
      <c r="D977" s="57"/>
      <c r="E977" s="57"/>
      <c r="F977" s="57"/>
      <c r="G977" s="57"/>
      <c r="L977" s="57"/>
      <c r="M977" s="57"/>
    </row>
    <row r="978">
      <c r="C978" s="57"/>
      <c r="D978" s="57"/>
      <c r="E978" s="57"/>
      <c r="F978" s="57"/>
      <c r="G978" s="57"/>
      <c r="L978" s="57"/>
      <c r="M978" s="57"/>
    </row>
    <row r="979">
      <c r="C979" s="57"/>
      <c r="D979" s="57"/>
      <c r="E979" s="57"/>
      <c r="F979" s="57"/>
      <c r="G979" s="57"/>
      <c r="L979" s="57"/>
      <c r="M979" s="57"/>
    </row>
    <row r="980">
      <c r="C980" s="57"/>
      <c r="D980" s="57"/>
      <c r="E980" s="57"/>
      <c r="F980" s="57"/>
      <c r="G980" s="57"/>
      <c r="L980" s="57"/>
      <c r="M980" s="57"/>
    </row>
    <row r="981">
      <c r="C981" s="57"/>
      <c r="D981" s="57"/>
      <c r="E981" s="57"/>
      <c r="F981" s="57"/>
      <c r="G981" s="57"/>
      <c r="L981" s="57"/>
      <c r="M981" s="57"/>
    </row>
    <row r="982">
      <c r="C982" s="57"/>
      <c r="D982" s="57"/>
      <c r="E982" s="57"/>
      <c r="F982" s="57"/>
      <c r="G982" s="57"/>
      <c r="L982" s="57"/>
      <c r="M982" s="57"/>
    </row>
    <row r="983">
      <c r="C983" s="57"/>
      <c r="D983" s="57"/>
      <c r="E983" s="57"/>
      <c r="F983" s="57"/>
      <c r="G983" s="57"/>
      <c r="L983" s="57"/>
      <c r="M983" s="57"/>
    </row>
    <row r="984">
      <c r="C984" s="57"/>
      <c r="D984" s="57"/>
      <c r="E984" s="57"/>
      <c r="F984" s="57"/>
      <c r="G984" s="57"/>
      <c r="L984" s="57"/>
      <c r="M984" s="57"/>
    </row>
    <row r="985">
      <c r="C985" s="57"/>
      <c r="D985" s="57"/>
      <c r="E985" s="57"/>
      <c r="F985" s="57"/>
      <c r="G985" s="57"/>
      <c r="L985" s="57"/>
      <c r="M985" s="57"/>
    </row>
    <row r="986">
      <c r="C986" s="57"/>
      <c r="D986" s="57"/>
      <c r="E986" s="57"/>
      <c r="F986" s="57"/>
      <c r="G986" s="57"/>
      <c r="L986" s="57"/>
      <c r="M986" s="57"/>
    </row>
    <row r="987">
      <c r="C987" s="57"/>
      <c r="D987" s="57"/>
      <c r="E987" s="57"/>
      <c r="F987" s="57"/>
      <c r="G987" s="57"/>
      <c r="L987" s="57"/>
      <c r="M987" s="57"/>
    </row>
    <row r="988">
      <c r="C988" s="57"/>
      <c r="D988" s="57"/>
      <c r="E988" s="57"/>
      <c r="F988" s="57"/>
      <c r="G988" s="57"/>
      <c r="L988" s="57"/>
      <c r="M988" s="57"/>
    </row>
    <row r="989">
      <c r="C989" s="57"/>
      <c r="D989" s="57"/>
      <c r="E989" s="57"/>
      <c r="F989" s="57"/>
      <c r="G989" s="57"/>
      <c r="L989" s="57"/>
      <c r="M989" s="57"/>
    </row>
    <row r="990">
      <c r="C990" s="57"/>
      <c r="D990" s="57"/>
      <c r="E990" s="57"/>
      <c r="F990" s="57"/>
      <c r="G990" s="57"/>
      <c r="L990" s="57"/>
      <c r="M990" s="57"/>
    </row>
    <row r="991">
      <c r="C991" s="57"/>
      <c r="D991" s="57"/>
      <c r="E991" s="57"/>
      <c r="F991" s="57"/>
      <c r="G991" s="57"/>
      <c r="L991" s="57"/>
      <c r="M991" s="57"/>
    </row>
    <row r="992">
      <c r="C992" s="57"/>
      <c r="D992" s="57"/>
      <c r="E992" s="57"/>
      <c r="F992" s="57"/>
      <c r="G992" s="57"/>
      <c r="L992" s="57"/>
      <c r="M992" s="57"/>
    </row>
    <row r="993">
      <c r="C993" s="57"/>
      <c r="D993" s="57"/>
      <c r="E993" s="57"/>
      <c r="F993" s="57"/>
      <c r="G993" s="57"/>
      <c r="L993" s="57"/>
      <c r="M993" s="57"/>
    </row>
    <row r="994">
      <c r="C994" s="57"/>
      <c r="D994" s="57"/>
      <c r="E994" s="57"/>
      <c r="F994" s="57"/>
      <c r="G994" s="57"/>
      <c r="L994" s="57"/>
      <c r="M994" s="57"/>
    </row>
    <row r="995">
      <c r="C995" s="57"/>
      <c r="D995" s="57"/>
      <c r="E995" s="57"/>
      <c r="F995" s="57"/>
      <c r="G995" s="57"/>
      <c r="L995" s="57"/>
      <c r="M995" s="57"/>
    </row>
    <row r="996">
      <c r="C996" s="57"/>
      <c r="D996" s="57"/>
      <c r="E996" s="57"/>
      <c r="F996" s="57"/>
      <c r="G996" s="57"/>
      <c r="L996" s="57"/>
      <c r="M996" s="57"/>
    </row>
    <row r="997">
      <c r="C997" s="57"/>
      <c r="D997" s="57"/>
      <c r="E997" s="57"/>
      <c r="F997" s="57"/>
      <c r="G997" s="57"/>
      <c r="L997" s="57"/>
      <c r="M997" s="57"/>
    </row>
    <row r="998">
      <c r="C998" s="57"/>
      <c r="D998" s="57"/>
      <c r="E998" s="57"/>
      <c r="F998" s="57"/>
      <c r="G998" s="57"/>
      <c r="L998" s="57"/>
      <c r="M998" s="57"/>
    </row>
    <row r="999">
      <c r="C999" s="57"/>
      <c r="D999" s="57"/>
      <c r="E999" s="57"/>
      <c r="F999" s="57"/>
      <c r="G999" s="57"/>
      <c r="L999" s="57"/>
      <c r="M999" s="57"/>
    </row>
    <row r="1000">
      <c r="C1000" s="57"/>
      <c r="D1000" s="57"/>
      <c r="E1000" s="57"/>
      <c r="F1000" s="57"/>
      <c r="G1000" s="57"/>
      <c r="L1000" s="57"/>
      <c r="M1000" s="57"/>
    </row>
    <row r="1001">
      <c r="C1001" s="57"/>
      <c r="D1001" s="57"/>
      <c r="E1001" s="57"/>
      <c r="F1001" s="57"/>
      <c r="G1001" s="57"/>
      <c r="L1001" s="57"/>
      <c r="M1001" s="57"/>
    </row>
  </sheetData>
  <hyperlinks>
    <hyperlink r:id="rId1" ref="B4"/>
    <hyperlink r:id="rId2" ref="R4"/>
    <hyperlink r:id="rId3" ref="W4"/>
    <hyperlink r:id="rId4" ref="AC4"/>
    <hyperlink r:id="rId5" ref="B5"/>
    <hyperlink r:id="rId6" ref="C5"/>
    <hyperlink r:id="rId7" ref="R5"/>
    <hyperlink r:id="rId8" ref="B6"/>
    <hyperlink r:id="rId9" ref="C6"/>
    <hyperlink r:id="rId10" ref="R6"/>
    <hyperlink r:id="rId11" ref="Z6"/>
    <hyperlink r:id="rId12" ref="B7"/>
    <hyperlink r:id="rId13" ref="C7"/>
    <hyperlink r:id="rId14" ref="R7"/>
    <hyperlink r:id="rId15" ref="B8"/>
    <hyperlink r:id="rId16" ref="C8"/>
    <hyperlink r:id="rId17" ref="R8"/>
    <hyperlink r:id="rId18" ref="B9"/>
    <hyperlink r:id="rId19" ref="C9"/>
    <hyperlink r:id="rId20" ref="R9"/>
    <hyperlink r:id="rId21" ref="B10"/>
    <hyperlink r:id="rId22" ref="C10"/>
    <hyperlink r:id="rId23" ref="R10"/>
    <hyperlink r:id="rId24" ref="Z10"/>
    <hyperlink r:id="rId25" ref="B11"/>
    <hyperlink r:id="rId26" ref="C11"/>
    <hyperlink r:id="rId27" ref="R11"/>
    <hyperlink r:id="rId28" ref="Z11"/>
    <hyperlink r:id="rId29" ref="B12"/>
    <hyperlink r:id="rId30" ref="C12"/>
    <hyperlink r:id="rId31" ref="R12"/>
    <hyperlink r:id="rId32" ref="Z12"/>
    <hyperlink r:id="rId33" ref="B13"/>
    <hyperlink r:id="rId34" ref="C13"/>
    <hyperlink r:id="rId35" ref="R13"/>
    <hyperlink r:id="rId36" ref="B14"/>
    <hyperlink r:id="rId37" ref="C14"/>
    <hyperlink r:id="rId38" location="gcn-circular-37674" ref="R14"/>
    <hyperlink r:id="rId39" ref="B15"/>
    <hyperlink r:id="rId40" ref="C15"/>
    <hyperlink r:id="rId41" ref="R15"/>
    <hyperlink r:id="rId42" ref="B16"/>
    <hyperlink r:id="rId43" ref="C16"/>
    <hyperlink r:id="rId44" ref="R16"/>
    <hyperlink r:id="rId45" ref="B17"/>
    <hyperlink r:id="rId46" ref="C17"/>
    <hyperlink r:id="rId47" ref="R17"/>
    <hyperlink r:id="rId48" ref="Z17"/>
    <hyperlink r:id="rId49" ref="B18"/>
    <hyperlink r:id="rId50" ref="C18"/>
    <hyperlink r:id="rId51" ref="R18"/>
    <hyperlink r:id="rId52" ref="B19"/>
    <hyperlink r:id="rId53" ref="C19"/>
    <hyperlink r:id="rId54" ref="R19"/>
    <hyperlink r:id="rId55" ref="Z19"/>
    <hyperlink r:id="rId56" ref="B20"/>
    <hyperlink r:id="rId57" ref="C20"/>
    <hyperlink r:id="rId58" ref="R20"/>
    <hyperlink r:id="rId59" ref="B22"/>
    <hyperlink r:id="rId60" ref="C22"/>
    <hyperlink r:id="rId61" ref="R22"/>
    <hyperlink r:id="rId62" ref="Z22"/>
    <hyperlink r:id="rId63" ref="AC22"/>
    <hyperlink r:id="rId64" ref="B23"/>
    <hyperlink r:id="rId65" ref="C23"/>
    <hyperlink r:id="rId66" ref="R23"/>
    <hyperlink r:id="rId67" ref="B24"/>
    <hyperlink r:id="rId68" ref="C24"/>
    <hyperlink r:id="rId69" ref="R24"/>
    <hyperlink r:id="rId70" ref="B25"/>
    <hyperlink r:id="rId71" ref="C25"/>
    <hyperlink r:id="rId72" ref="R25"/>
    <hyperlink r:id="rId73" ref="B26"/>
    <hyperlink r:id="rId74" ref="C26"/>
    <hyperlink r:id="rId75" ref="R26"/>
    <hyperlink r:id="rId76" ref="B27"/>
    <hyperlink r:id="rId77" ref="C27"/>
    <hyperlink r:id="rId78" ref="R27"/>
    <hyperlink r:id="rId79" ref="B28"/>
    <hyperlink r:id="rId80" ref="C28"/>
    <hyperlink r:id="rId81" ref="R28"/>
    <hyperlink r:id="rId82" ref="B29"/>
    <hyperlink r:id="rId83" ref="R29"/>
  </hyperlinks>
  <drawing r:id="rId8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9" width="20.38"/>
    <col customWidth="1" min="10" max="10" width="19.38"/>
    <col customWidth="1" min="11" max="11" width="37.75"/>
    <col customWidth="1" min="12" max="12" width="14.5"/>
    <col customWidth="1" min="13" max="13" width="19.0"/>
    <col customWidth="1" min="14" max="14" width="16.88"/>
    <col customWidth="1" min="17" max="17" width="18.25"/>
    <col customWidth="1" min="18" max="18" width="20.63"/>
    <col customWidth="1" min="19" max="19" width="39.25"/>
    <col customWidth="1" min="22" max="22" width="18.5"/>
    <col customWidth="1" min="30" max="30" width="36.5"/>
  </cols>
  <sheetData>
    <row r="1">
      <c r="J1" s="57"/>
      <c r="L1" s="57"/>
      <c r="M1" s="57"/>
    </row>
    <row r="2">
      <c r="A2" s="69" t="s">
        <v>541</v>
      </c>
      <c r="B2" s="57"/>
      <c r="C2" s="57"/>
      <c r="D2" s="57"/>
      <c r="E2" s="68" t="s">
        <v>542</v>
      </c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>
      <c r="A3" s="1" t="s">
        <v>0</v>
      </c>
      <c r="B3" s="2" t="s">
        <v>27</v>
      </c>
      <c r="C3" s="2" t="s">
        <v>1</v>
      </c>
      <c r="D3" s="2" t="s">
        <v>2</v>
      </c>
      <c r="E3" s="3" t="s">
        <v>6</v>
      </c>
      <c r="F3" s="1" t="s">
        <v>543</v>
      </c>
      <c r="G3" s="2" t="s">
        <v>544</v>
      </c>
      <c r="H3" s="2" t="s">
        <v>13</v>
      </c>
      <c r="I3" s="2" t="s">
        <v>4</v>
      </c>
      <c r="J3" s="2" t="s">
        <v>5</v>
      </c>
      <c r="K3" s="2" t="s">
        <v>545</v>
      </c>
      <c r="L3" s="2" t="s">
        <v>8</v>
      </c>
      <c r="M3" s="2" t="s">
        <v>240</v>
      </c>
      <c r="N3" s="2" t="s">
        <v>10</v>
      </c>
      <c r="O3" s="2" t="s">
        <v>11</v>
      </c>
      <c r="P3" s="3" t="s">
        <v>14</v>
      </c>
      <c r="Q3" s="2" t="s">
        <v>15</v>
      </c>
      <c r="R3" s="1" t="s">
        <v>16</v>
      </c>
      <c r="S3" s="2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2" t="s">
        <v>22</v>
      </c>
      <c r="Y3" s="1" t="s">
        <v>546</v>
      </c>
      <c r="Z3" s="1" t="s">
        <v>241</v>
      </c>
      <c r="AA3" s="1" t="s">
        <v>242</v>
      </c>
      <c r="AB3" s="1" t="s">
        <v>243</v>
      </c>
      <c r="AC3" s="2" t="s">
        <v>244</v>
      </c>
      <c r="AD3" s="2" t="s">
        <v>27</v>
      </c>
      <c r="AE3" s="2"/>
      <c r="AF3" s="2" t="s">
        <v>28</v>
      </c>
    </row>
    <row r="4">
      <c r="A4" s="11" t="s">
        <v>547</v>
      </c>
      <c r="B4" s="13"/>
      <c r="C4" s="13"/>
      <c r="D4" s="12" t="s">
        <v>548</v>
      </c>
      <c r="E4" s="12" t="s">
        <v>549</v>
      </c>
      <c r="F4" s="11" t="s">
        <v>550</v>
      </c>
      <c r="G4" s="82">
        <v>218.22421</v>
      </c>
      <c r="H4" s="82">
        <v>61.29496</v>
      </c>
      <c r="I4" s="11" t="s">
        <v>551</v>
      </c>
      <c r="J4" s="11" t="s">
        <v>205</v>
      </c>
      <c r="K4" s="83" t="s">
        <v>552</v>
      </c>
      <c r="L4" s="11" t="s">
        <v>553</v>
      </c>
      <c r="M4" s="11" t="s">
        <v>554</v>
      </c>
      <c r="N4" s="11" t="s">
        <v>555</v>
      </c>
      <c r="O4" s="11" t="s">
        <v>556</v>
      </c>
      <c r="P4" s="11" t="s">
        <v>557</v>
      </c>
      <c r="Q4" s="11" t="s">
        <v>558</v>
      </c>
      <c r="R4" s="11" t="s">
        <v>64</v>
      </c>
      <c r="S4" s="11" t="s">
        <v>559</v>
      </c>
      <c r="T4" s="11" t="s">
        <v>205</v>
      </c>
      <c r="U4" s="11" t="s">
        <v>560</v>
      </c>
      <c r="V4" s="11" t="s">
        <v>561</v>
      </c>
      <c r="W4" s="11" t="s">
        <v>205</v>
      </c>
      <c r="X4" s="12" t="s">
        <v>562</v>
      </c>
      <c r="Y4" s="11" t="s">
        <v>563</v>
      </c>
      <c r="Z4" s="11" t="s">
        <v>564</v>
      </c>
      <c r="AA4" s="11" t="s">
        <v>565</v>
      </c>
      <c r="AB4" s="12" t="s">
        <v>566</v>
      </c>
      <c r="AC4" s="11" t="s">
        <v>567</v>
      </c>
      <c r="AD4" s="34" t="s">
        <v>568</v>
      </c>
      <c r="AE4" s="10"/>
      <c r="AF4" s="13"/>
    </row>
    <row r="5">
      <c r="A5" s="11" t="s">
        <v>569</v>
      </c>
      <c r="B5" s="13"/>
      <c r="C5" s="13"/>
      <c r="D5" s="12" t="s">
        <v>570</v>
      </c>
      <c r="E5" s="34" t="s">
        <v>571</v>
      </c>
      <c r="F5" s="11" t="s">
        <v>572</v>
      </c>
      <c r="G5" s="82">
        <v>269.48753</v>
      </c>
      <c r="H5" s="82">
        <v>-7.03592</v>
      </c>
      <c r="I5" s="11" t="s">
        <v>573</v>
      </c>
      <c r="J5" s="11" t="s">
        <v>42</v>
      </c>
      <c r="K5" s="83" t="s">
        <v>574</v>
      </c>
      <c r="L5" s="11" t="s">
        <v>575</v>
      </c>
      <c r="M5" s="11" t="s">
        <v>576</v>
      </c>
      <c r="N5" s="11" t="s">
        <v>42</v>
      </c>
      <c r="O5" s="11" t="s">
        <v>556</v>
      </c>
      <c r="P5" s="11">
        <v>4.0</v>
      </c>
      <c r="Q5" s="11" t="s">
        <v>577</v>
      </c>
      <c r="R5" s="11" t="s">
        <v>64</v>
      </c>
      <c r="S5" s="11" t="s">
        <v>578</v>
      </c>
      <c r="T5" s="11" t="s">
        <v>42</v>
      </c>
      <c r="U5" s="11" t="s">
        <v>579</v>
      </c>
      <c r="V5" s="11" t="s">
        <v>580</v>
      </c>
      <c r="W5" s="11" t="s">
        <v>42</v>
      </c>
      <c r="X5" s="11" t="s">
        <v>42</v>
      </c>
      <c r="Y5" s="13"/>
      <c r="Z5" s="11" t="s">
        <v>581</v>
      </c>
      <c r="AA5" s="11" t="s">
        <v>582</v>
      </c>
      <c r="AB5" s="12" t="s">
        <v>583</v>
      </c>
      <c r="AC5" s="11" t="s">
        <v>584</v>
      </c>
      <c r="AD5" s="13"/>
      <c r="AE5" s="13"/>
      <c r="AF5" s="13"/>
    </row>
    <row r="6">
      <c r="A6" s="11" t="s">
        <v>585</v>
      </c>
      <c r="B6" s="13"/>
      <c r="C6" s="13"/>
      <c r="D6" s="12" t="s">
        <v>586</v>
      </c>
      <c r="E6" s="12" t="s">
        <v>587</v>
      </c>
      <c r="F6" s="84">
        <v>44654.86298611111</v>
      </c>
      <c r="G6" s="82">
        <v>191.4734</v>
      </c>
      <c r="H6" s="85">
        <f>+89.1846</f>
        <v>89.1846</v>
      </c>
      <c r="I6" s="11" t="s">
        <v>588</v>
      </c>
      <c r="J6" s="11" t="s">
        <v>589</v>
      </c>
      <c r="K6" s="83" t="s">
        <v>590</v>
      </c>
      <c r="L6" s="11" t="s">
        <v>591</v>
      </c>
      <c r="M6" s="83" t="s">
        <v>592</v>
      </c>
      <c r="N6" s="11" t="s">
        <v>183</v>
      </c>
      <c r="O6" s="11" t="s">
        <v>556</v>
      </c>
      <c r="P6" s="11" t="s">
        <v>593</v>
      </c>
      <c r="Q6" s="11" t="s">
        <v>594</v>
      </c>
      <c r="R6" s="11" t="s">
        <v>595</v>
      </c>
      <c r="S6" s="11" t="s">
        <v>596</v>
      </c>
      <c r="T6" s="11" t="s">
        <v>42</v>
      </c>
      <c r="U6" s="11" t="s">
        <v>597</v>
      </c>
      <c r="V6" s="11" t="s">
        <v>598</v>
      </c>
      <c r="W6" s="11" t="s">
        <v>42</v>
      </c>
      <c r="X6" s="11" t="s">
        <v>42</v>
      </c>
      <c r="Y6" s="11"/>
      <c r="Z6" s="11" t="s">
        <v>67</v>
      </c>
      <c r="AA6" s="13"/>
      <c r="AB6" s="13"/>
      <c r="AC6" s="13"/>
      <c r="AD6" s="13"/>
      <c r="AE6" s="13"/>
      <c r="AF6" s="13"/>
    </row>
    <row r="7">
      <c r="A7" s="11" t="s">
        <v>599</v>
      </c>
      <c r="B7" s="11" t="s">
        <v>600</v>
      </c>
      <c r="C7" s="13"/>
      <c r="D7" s="13"/>
      <c r="E7" s="12" t="s">
        <v>601</v>
      </c>
      <c r="F7" s="84">
        <v>44655.49618055556</v>
      </c>
      <c r="G7" s="11">
        <v>50.413</v>
      </c>
      <c r="H7" s="11">
        <v>10.001</v>
      </c>
      <c r="I7" s="11" t="s">
        <v>602</v>
      </c>
      <c r="J7" s="11" t="s">
        <v>205</v>
      </c>
      <c r="K7" s="11" t="s">
        <v>603</v>
      </c>
      <c r="L7" s="11" t="s">
        <v>604</v>
      </c>
      <c r="M7" s="11" t="s">
        <v>605</v>
      </c>
      <c r="N7" s="11" t="s">
        <v>42</v>
      </c>
      <c r="O7" s="11" t="s">
        <v>556</v>
      </c>
      <c r="P7" s="11" t="s">
        <v>606</v>
      </c>
      <c r="Q7" s="11" t="s">
        <v>606</v>
      </c>
      <c r="R7" s="11" t="s">
        <v>607</v>
      </c>
      <c r="S7" s="13"/>
      <c r="T7" s="11" t="s">
        <v>42</v>
      </c>
      <c r="U7" s="11" t="s">
        <v>42</v>
      </c>
      <c r="V7" s="11" t="s">
        <v>42</v>
      </c>
      <c r="W7" s="11" t="s">
        <v>42</v>
      </c>
      <c r="X7" s="11" t="s">
        <v>42</v>
      </c>
      <c r="Y7" s="13"/>
      <c r="Z7" s="11" t="s">
        <v>608</v>
      </c>
      <c r="AA7" s="11" t="s">
        <v>609</v>
      </c>
      <c r="AB7" s="12" t="s">
        <v>610</v>
      </c>
      <c r="AC7" s="13"/>
      <c r="AD7" s="13"/>
      <c r="AE7" s="13"/>
      <c r="AF7" s="13"/>
    </row>
    <row r="8">
      <c r="A8" s="11" t="s">
        <v>611</v>
      </c>
      <c r="B8" s="11" t="s">
        <v>612</v>
      </c>
      <c r="C8" s="13"/>
      <c r="D8" s="12" t="s">
        <v>613</v>
      </c>
      <c r="E8" s="12" t="s">
        <v>614</v>
      </c>
      <c r="F8" s="84">
        <v>44659.31116898148</v>
      </c>
      <c r="G8" s="82">
        <v>92.48</v>
      </c>
      <c r="H8" s="82">
        <v>-50.97</v>
      </c>
      <c r="I8" s="11" t="s">
        <v>615</v>
      </c>
      <c r="J8" s="11" t="s">
        <v>205</v>
      </c>
      <c r="K8" s="11" t="s">
        <v>616</v>
      </c>
      <c r="L8" s="11" t="s">
        <v>617</v>
      </c>
      <c r="M8" s="11" t="s">
        <v>618</v>
      </c>
      <c r="N8" s="11" t="s">
        <v>42</v>
      </c>
      <c r="O8" s="11" t="s">
        <v>556</v>
      </c>
      <c r="P8" s="13"/>
      <c r="Q8" s="11"/>
      <c r="R8" s="13"/>
      <c r="S8" s="13"/>
      <c r="T8" s="11" t="s">
        <v>619</v>
      </c>
      <c r="U8" s="11" t="s">
        <v>42</v>
      </c>
      <c r="V8" s="11" t="s">
        <v>42</v>
      </c>
      <c r="W8" s="11" t="s">
        <v>42</v>
      </c>
      <c r="X8" s="11" t="s">
        <v>42</v>
      </c>
      <c r="Y8" s="13"/>
      <c r="Z8" s="11" t="s">
        <v>67</v>
      </c>
      <c r="AA8" s="13"/>
      <c r="AB8" s="12" t="s">
        <v>620</v>
      </c>
      <c r="AC8" s="13"/>
      <c r="AD8" s="13"/>
      <c r="AE8" s="13"/>
      <c r="AF8" s="13"/>
    </row>
    <row r="9" ht="113.25" customHeight="1">
      <c r="A9" s="11" t="s">
        <v>621</v>
      </c>
      <c r="B9" s="13"/>
      <c r="C9" s="13"/>
      <c r="D9" s="12" t="s">
        <v>622</v>
      </c>
      <c r="E9" s="12" t="s">
        <v>623</v>
      </c>
      <c r="F9" s="84">
        <v>44663.2755787037</v>
      </c>
      <c r="G9" s="11">
        <v>123.96809</v>
      </c>
      <c r="H9" s="13">
        <f>+30.34259</f>
        <v>30.34259</v>
      </c>
      <c r="I9" s="11" t="s">
        <v>624</v>
      </c>
      <c r="J9" s="11" t="s">
        <v>625</v>
      </c>
      <c r="K9" s="11" t="s">
        <v>626</v>
      </c>
      <c r="L9" s="11" t="s">
        <v>627</v>
      </c>
      <c r="M9" s="11" t="s">
        <v>628</v>
      </c>
      <c r="N9" s="11" t="s">
        <v>183</v>
      </c>
      <c r="O9" s="11" t="s">
        <v>556</v>
      </c>
      <c r="P9" s="11">
        <v>8.0</v>
      </c>
      <c r="Q9" s="11" t="s">
        <v>629</v>
      </c>
      <c r="R9" s="11" t="s">
        <v>64</v>
      </c>
      <c r="S9" s="11" t="s">
        <v>630</v>
      </c>
      <c r="T9" s="11" t="s">
        <v>631</v>
      </c>
      <c r="U9" s="11" t="s">
        <v>632</v>
      </c>
      <c r="V9" s="11" t="s">
        <v>42</v>
      </c>
      <c r="W9" s="11" t="s">
        <v>42</v>
      </c>
      <c r="X9" s="11" t="s">
        <v>42</v>
      </c>
      <c r="Y9" s="13"/>
      <c r="Z9" s="11" t="s">
        <v>564</v>
      </c>
      <c r="AA9" s="11" t="s">
        <v>633</v>
      </c>
      <c r="AB9" s="12" t="s">
        <v>634</v>
      </c>
      <c r="AC9" s="11" t="s">
        <v>635</v>
      </c>
      <c r="AD9" s="34" t="s">
        <v>636</v>
      </c>
      <c r="AE9" s="13"/>
      <c r="AF9" s="13"/>
    </row>
    <row r="10">
      <c r="A10" s="11" t="s">
        <v>637</v>
      </c>
      <c r="B10" s="11" t="s">
        <v>600</v>
      </c>
      <c r="C10" s="13"/>
      <c r="D10" s="13"/>
      <c r="E10" s="12" t="s">
        <v>638</v>
      </c>
      <c r="F10" s="84">
        <v>44663.71306712963</v>
      </c>
      <c r="G10" s="11">
        <v>320.758</v>
      </c>
      <c r="H10" s="11">
        <v>-0.261</v>
      </c>
      <c r="I10" s="11" t="s">
        <v>602</v>
      </c>
      <c r="J10" s="11" t="s">
        <v>42</v>
      </c>
      <c r="K10" s="11" t="s">
        <v>639</v>
      </c>
      <c r="L10" s="11" t="s">
        <v>640</v>
      </c>
      <c r="M10" s="11" t="s">
        <v>641</v>
      </c>
      <c r="N10" s="11" t="s">
        <v>42</v>
      </c>
      <c r="O10" s="11" t="s">
        <v>556</v>
      </c>
      <c r="P10" s="11" t="s">
        <v>205</v>
      </c>
      <c r="Q10" s="11" t="s">
        <v>205</v>
      </c>
      <c r="R10" s="11" t="s">
        <v>205</v>
      </c>
      <c r="S10" s="11" t="s">
        <v>205</v>
      </c>
      <c r="T10" s="11" t="s">
        <v>42</v>
      </c>
      <c r="U10" s="11" t="s">
        <v>42</v>
      </c>
      <c r="V10" s="11" t="s">
        <v>42</v>
      </c>
      <c r="W10" s="11" t="s">
        <v>42</v>
      </c>
      <c r="X10" s="11" t="s">
        <v>42</v>
      </c>
      <c r="Y10" s="13"/>
      <c r="Z10" s="11" t="s">
        <v>42</v>
      </c>
      <c r="AA10" s="11" t="s">
        <v>42</v>
      </c>
      <c r="AB10" s="11" t="s">
        <v>42</v>
      </c>
      <c r="AC10" s="13"/>
      <c r="AD10" s="70" t="s">
        <v>642</v>
      </c>
      <c r="AE10" s="13"/>
      <c r="AF10" s="13"/>
    </row>
    <row r="11">
      <c r="A11" s="11" t="s">
        <v>643</v>
      </c>
      <c r="B11" s="13"/>
      <c r="C11" s="13"/>
      <c r="D11" s="34" t="s">
        <v>644</v>
      </c>
      <c r="E11" s="12" t="s">
        <v>645</v>
      </c>
      <c r="F11" s="84">
        <v>44678.875393518516</v>
      </c>
      <c r="G11" s="11">
        <v>275.88811</v>
      </c>
      <c r="H11" s="11" t="s">
        <v>646</v>
      </c>
      <c r="I11" s="11" t="s">
        <v>647</v>
      </c>
      <c r="J11" s="11" t="s">
        <v>648</v>
      </c>
      <c r="K11" s="11" t="s">
        <v>649</v>
      </c>
      <c r="L11" s="11" t="s">
        <v>650</v>
      </c>
      <c r="M11" s="11" t="s">
        <v>651</v>
      </c>
      <c r="N11" s="11" t="s">
        <v>652</v>
      </c>
      <c r="O11" s="11" t="s">
        <v>556</v>
      </c>
      <c r="P11" s="11">
        <v>4.0</v>
      </c>
      <c r="Q11" s="11" t="s">
        <v>653</v>
      </c>
      <c r="R11" s="11" t="s">
        <v>654</v>
      </c>
      <c r="S11" s="11" t="s">
        <v>655</v>
      </c>
      <c r="T11" s="11" t="s">
        <v>631</v>
      </c>
      <c r="U11" s="11" t="s">
        <v>656</v>
      </c>
      <c r="V11" s="11" t="s">
        <v>657</v>
      </c>
      <c r="W11" s="11" t="s">
        <v>658</v>
      </c>
      <c r="X11" s="12" t="s">
        <v>659</v>
      </c>
      <c r="Y11" s="11" t="s">
        <v>660</v>
      </c>
      <c r="Z11" s="11" t="s">
        <v>581</v>
      </c>
      <c r="AA11" s="11" t="s">
        <v>661</v>
      </c>
      <c r="AB11" s="12" t="s">
        <v>662</v>
      </c>
      <c r="AC11" s="11" t="s">
        <v>663</v>
      </c>
      <c r="AD11" s="13"/>
      <c r="AE11" s="13"/>
      <c r="AF11" s="13"/>
    </row>
    <row r="12">
      <c r="A12" s="11" t="s">
        <v>664</v>
      </c>
      <c r="B12" s="13"/>
      <c r="C12" s="13"/>
      <c r="D12" s="12" t="s">
        <v>665</v>
      </c>
      <c r="E12" s="12" t="s">
        <v>666</v>
      </c>
      <c r="F12" s="84">
        <v>44681.57864583333</v>
      </c>
      <c r="G12" s="11">
        <v>97.61218</v>
      </c>
      <c r="H12" s="13">
        <f>+9.54754</f>
        <v>9.54754</v>
      </c>
      <c r="I12" s="11" t="s">
        <v>667</v>
      </c>
      <c r="J12" s="11" t="s">
        <v>42</v>
      </c>
      <c r="K12" s="11" t="s">
        <v>668</v>
      </c>
      <c r="L12" s="11" t="s">
        <v>669</v>
      </c>
      <c r="M12" s="11" t="s">
        <v>670</v>
      </c>
      <c r="N12" s="11" t="s">
        <v>658</v>
      </c>
      <c r="O12" s="11" t="s">
        <v>556</v>
      </c>
      <c r="P12" s="11">
        <v>4.0</v>
      </c>
      <c r="Q12" s="11" t="s">
        <v>671</v>
      </c>
      <c r="R12" s="11" t="s">
        <v>64</v>
      </c>
      <c r="S12" s="11" t="s">
        <v>672</v>
      </c>
      <c r="T12" s="11" t="s">
        <v>631</v>
      </c>
      <c r="U12" s="11" t="s">
        <v>673</v>
      </c>
      <c r="V12" s="11" t="s">
        <v>42</v>
      </c>
      <c r="W12" s="11" t="s">
        <v>42</v>
      </c>
      <c r="X12" s="12" t="s">
        <v>674</v>
      </c>
      <c r="Y12" s="11" t="s">
        <v>675</v>
      </c>
      <c r="Z12" s="11" t="s">
        <v>581</v>
      </c>
      <c r="AA12" s="11" t="s">
        <v>676</v>
      </c>
      <c r="AB12" s="12" t="s">
        <v>677</v>
      </c>
      <c r="AC12" s="11" t="s">
        <v>678</v>
      </c>
      <c r="AD12" s="13"/>
      <c r="AE12" s="13"/>
      <c r="AF12" s="13"/>
    </row>
    <row r="13">
      <c r="A13" s="11" t="s">
        <v>679</v>
      </c>
      <c r="B13" s="13"/>
      <c r="C13" s="13"/>
      <c r="D13" s="12" t="s">
        <v>680</v>
      </c>
      <c r="E13" s="12" t="s">
        <v>681</v>
      </c>
      <c r="F13" s="84">
        <v>44682.827673611115</v>
      </c>
      <c r="G13" s="11">
        <v>85.583</v>
      </c>
      <c r="H13" s="11">
        <v>14.01</v>
      </c>
      <c r="I13" s="11" t="s">
        <v>682</v>
      </c>
      <c r="J13" s="11" t="s">
        <v>42</v>
      </c>
      <c r="K13" s="11" t="s">
        <v>683</v>
      </c>
      <c r="L13" s="11" t="s">
        <v>684</v>
      </c>
      <c r="M13" s="11" t="s">
        <v>685</v>
      </c>
      <c r="N13" s="11" t="s">
        <v>42</v>
      </c>
      <c r="O13" s="11" t="s">
        <v>556</v>
      </c>
      <c r="P13" s="11">
        <v>1.0</v>
      </c>
      <c r="Q13" s="11" t="s">
        <v>686</v>
      </c>
      <c r="R13" s="11" t="s">
        <v>64</v>
      </c>
      <c r="S13" s="11" t="s">
        <v>687</v>
      </c>
      <c r="T13" s="11" t="s">
        <v>631</v>
      </c>
      <c r="U13" s="11" t="s">
        <v>631</v>
      </c>
      <c r="V13" s="11" t="s">
        <v>631</v>
      </c>
      <c r="W13" s="11" t="s">
        <v>631</v>
      </c>
      <c r="X13" s="11" t="s">
        <v>42</v>
      </c>
      <c r="Y13" s="13"/>
      <c r="Z13" s="11" t="s">
        <v>67</v>
      </c>
      <c r="AA13" s="13"/>
      <c r="AB13" s="13"/>
      <c r="AC13" s="13"/>
      <c r="AD13" s="13"/>
      <c r="AE13" s="13"/>
      <c r="AF13" s="13"/>
    </row>
    <row r="14">
      <c r="A14" s="11" t="s">
        <v>688</v>
      </c>
      <c r="B14" s="13"/>
      <c r="C14" s="13"/>
      <c r="D14" s="12" t="s">
        <v>689</v>
      </c>
      <c r="E14" s="12" t="s">
        <v>690</v>
      </c>
      <c r="F14" s="84">
        <v>44695.51703703704</v>
      </c>
      <c r="G14" s="11">
        <v>147.667</v>
      </c>
      <c r="H14" s="11">
        <v>13.1472</v>
      </c>
      <c r="I14" s="11" t="s">
        <v>691</v>
      </c>
      <c r="J14" s="11" t="s">
        <v>692</v>
      </c>
      <c r="K14" s="11" t="s">
        <v>693</v>
      </c>
      <c r="L14" s="11" t="s">
        <v>694</v>
      </c>
      <c r="M14" s="11" t="s">
        <v>695</v>
      </c>
      <c r="N14" s="11" t="s">
        <v>696</v>
      </c>
      <c r="O14" s="11" t="s">
        <v>556</v>
      </c>
      <c r="P14" s="11">
        <v>7.0</v>
      </c>
      <c r="Q14" s="11" t="s">
        <v>697</v>
      </c>
      <c r="R14" s="11" t="s">
        <v>698</v>
      </c>
      <c r="S14" s="11" t="s">
        <v>699</v>
      </c>
      <c r="T14" s="11" t="s">
        <v>631</v>
      </c>
      <c r="U14" s="11" t="s">
        <v>631</v>
      </c>
      <c r="V14" s="11" t="s">
        <v>631</v>
      </c>
      <c r="W14" s="11" t="s">
        <v>631</v>
      </c>
      <c r="X14" s="12" t="s">
        <v>700</v>
      </c>
      <c r="Y14" s="68" t="s">
        <v>701</v>
      </c>
      <c r="Z14" s="11" t="s">
        <v>67</v>
      </c>
      <c r="AA14" s="13"/>
      <c r="AB14" s="13"/>
      <c r="AC14" s="13"/>
      <c r="AD14" s="34" t="s">
        <v>702</v>
      </c>
      <c r="AE14" s="13"/>
      <c r="AF14" s="13"/>
    </row>
    <row r="15">
      <c r="A15" s="66"/>
      <c r="B15" s="66"/>
      <c r="C15" s="66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Z15" s="13"/>
      <c r="AA15" s="13"/>
      <c r="AB15" s="13"/>
      <c r="AC15" s="13"/>
      <c r="AD15" s="13"/>
      <c r="AE15" s="13"/>
      <c r="AF15" s="13"/>
    </row>
    <row r="16">
      <c r="A16" s="86" t="s">
        <v>703</v>
      </c>
      <c r="B16" s="66"/>
      <c r="C16" s="66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>
      <c r="A17" s="29" t="s">
        <v>704</v>
      </c>
      <c r="B17" s="29" t="s">
        <v>705</v>
      </c>
      <c r="C17" s="87"/>
      <c r="D17" s="30" t="s">
        <v>706</v>
      </c>
      <c r="E17" s="5" t="s">
        <v>707</v>
      </c>
      <c r="F17" s="88">
        <v>44875.10298171296</v>
      </c>
      <c r="G17" s="29">
        <v>29.09871</v>
      </c>
      <c r="H17" s="29" t="s">
        <v>708</v>
      </c>
      <c r="I17" s="29" t="s">
        <v>709</v>
      </c>
      <c r="J17" s="6" t="s">
        <v>710</v>
      </c>
      <c r="K17" s="29" t="s">
        <v>711</v>
      </c>
      <c r="L17" s="6" t="s">
        <v>712</v>
      </c>
      <c r="M17" s="6" t="s">
        <v>713</v>
      </c>
      <c r="N17" s="6" t="s">
        <v>183</v>
      </c>
      <c r="O17" s="6">
        <v>4.06</v>
      </c>
      <c r="P17" s="6">
        <v>9.0</v>
      </c>
      <c r="Q17" s="29" t="s">
        <v>714</v>
      </c>
      <c r="R17" s="29" t="s">
        <v>715</v>
      </c>
      <c r="S17" s="29" t="s">
        <v>716</v>
      </c>
      <c r="T17" s="6" t="s">
        <v>42</v>
      </c>
      <c r="U17" s="6" t="s">
        <v>717</v>
      </c>
      <c r="V17" s="6" t="s">
        <v>718</v>
      </c>
      <c r="W17" s="6" t="s">
        <v>42</v>
      </c>
      <c r="X17" s="5" t="s">
        <v>719</v>
      </c>
      <c r="Y17" s="6" t="s">
        <v>720</v>
      </c>
      <c r="Z17" s="6" t="s">
        <v>67</v>
      </c>
      <c r="AA17" s="31"/>
      <c r="AB17" s="31"/>
      <c r="AC17" s="31"/>
      <c r="AD17" s="31"/>
      <c r="AE17" s="31"/>
      <c r="AF17" s="31"/>
    </row>
    <row r="18">
      <c r="A18" s="89" t="s">
        <v>721</v>
      </c>
      <c r="B18" s="89" t="s">
        <v>722</v>
      </c>
      <c r="C18" s="66"/>
      <c r="D18" s="12" t="s">
        <v>723</v>
      </c>
      <c r="E18" s="12" t="s">
        <v>724</v>
      </c>
      <c r="F18" s="90">
        <v>44862.553090277775</v>
      </c>
      <c r="G18" s="89">
        <v>314.2027</v>
      </c>
      <c r="H18" s="89">
        <v>41.0898</v>
      </c>
      <c r="I18" s="89" t="s">
        <v>725</v>
      </c>
      <c r="J18" s="11" t="s">
        <v>42</v>
      </c>
      <c r="K18" s="89" t="s">
        <v>726</v>
      </c>
      <c r="L18" s="11" t="s">
        <v>727</v>
      </c>
      <c r="M18" s="11" t="s">
        <v>728</v>
      </c>
      <c r="N18" s="11" t="s">
        <v>42</v>
      </c>
      <c r="O18" s="11" t="s">
        <v>556</v>
      </c>
      <c r="P18" s="11">
        <v>2.0</v>
      </c>
      <c r="Q18" s="89" t="s">
        <v>729</v>
      </c>
      <c r="R18" s="11" t="s">
        <v>64</v>
      </c>
      <c r="S18" s="89" t="s">
        <v>730</v>
      </c>
      <c r="T18" s="11" t="s">
        <v>42</v>
      </c>
      <c r="U18" s="89" t="s">
        <v>717</v>
      </c>
      <c r="V18" s="11" t="s">
        <v>42</v>
      </c>
      <c r="W18" s="11" t="s">
        <v>42</v>
      </c>
      <c r="X18" s="11" t="s">
        <v>42</v>
      </c>
      <c r="Y18" s="13"/>
      <c r="Z18" s="11" t="s">
        <v>581</v>
      </c>
      <c r="AA18" s="11" t="s">
        <v>731</v>
      </c>
      <c r="AB18" s="12" t="s">
        <v>732</v>
      </c>
      <c r="AC18" s="11" t="s">
        <v>733</v>
      </c>
      <c r="AD18" s="13"/>
      <c r="AE18" s="13"/>
      <c r="AF18" s="13"/>
    </row>
    <row r="19">
      <c r="A19" s="89" t="s">
        <v>734</v>
      </c>
      <c r="B19" s="89" t="s">
        <v>735</v>
      </c>
      <c r="C19" s="66"/>
      <c r="D19" s="12" t="s">
        <v>736</v>
      </c>
      <c r="E19" s="34" t="s">
        <v>737</v>
      </c>
      <c r="F19" s="90">
        <v>44861.80113425926</v>
      </c>
      <c r="G19" s="89">
        <v>225.62095</v>
      </c>
      <c r="H19" s="66">
        <f>+47.44205</f>
        <v>47.44205</v>
      </c>
      <c r="I19" s="89" t="s">
        <v>709</v>
      </c>
      <c r="J19" s="11" t="s">
        <v>738</v>
      </c>
      <c r="K19" s="89" t="s">
        <v>739</v>
      </c>
      <c r="L19" s="11" t="s">
        <v>740</v>
      </c>
      <c r="M19" s="11" t="s">
        <v>741</v>
      </c>
      <c r="N19" s="89" t="s">
        <v>42</v>
      </c>
      <c r="O19" s="89" t="s">
        <v>631</v>
      </c>
      <c r="P19" s="89">
        <v>1.0</v>
      </c>
      <c r="Q19" s="89" t="s">
        <v>742</v>
      </c>
      <c r="R19" s="89" t="s">
        <v>64</v>
      </c>
      <c r="S19" s="89" t="s">
        <v>743</v>
      </c>
      <c r="T19" s="89" t="s">
        <v>42</v>
      </c>
      <c r="U19" s="89" t="s">
        <v>183</v>
      </c>
      <c r="V19" s="89" t="s">
        <v>42</v>
      </c>
      <c r="W19" s="89" t="s">
        <v>42</v>
      </c>
      <c r="X19" s="11" t="s">
        <v>42</v>
      </c>
      <c r="Y19" s="13"/>
      <c r="Z19" s="11" t="s">
        <v>67</v>
      </c>
      <c r="AA19" s="13"/>
      <c r="AB19" s="13"/>
      <c r="AC19" s="13"/>
      <c r="AD19" s="13"/>
      <c r="AE19" s="13"/>
      <c r="AF19" s="13"/>
    </row>
    <row r="20">
      <c r="A20" s="89" t="s">
        <v>744</v>
      </c>
      <c r="B20" s="89" t="s">
        <v>722</v>
      </c>
      <c r="C20" s="66"/>
      <c r="D20" s="12" t="s">
        <v>745</v>
      </c>
      <c r="E20" s="12" t="s">
        <v>746</v>
      </c>
      <c r="F20" s="90">
        <v>44858.541979166665</v>
      </c>
      <c r="G20" s="89">
        <v>169.74062</v>
      </c>
      <c r="H20" s="89">
        <v>33.04199</v>
      </c>
      <c r="I20" s="89" t="s">
        <v>747</v>
      </c>
      <c r="J20" s="11" t="s">
        <v>748</v>
      </c>
      <c r="K20" s="89" t="s">
        <v>749</v>
      </c>
      <c r="L20" s="11" t="s">
        <v>750</v>
      </c>
      <c r="M20" s="11" t="s">
        <v>751</v>
      </c>
      <c r="N20" s="89" t="s">
        <v>752</v>
      </c>
      <c r="O20" s="89" t="s">
        <v>753</v>
      </c>
      <c r="P20" s="89">
        <v>1.0</v>
      </c>
      <c r="Q20" s="89" t="s">
        <v>754</v>
      </c>
      <c r="R20" s="89" t="s">
        <v>64</v>
      </c>
      <c r="S20" s="89" t="s">
        <v>755</v>
      </c>
      <c r="T20" s="89" t="s">
        <v>42</v>
      </c>
      <c r="U20" s="89" t="s">
        <v>183</v>
      </c>
      <c r="V20" s="89" t="s">
        <v>756</v>
      </c>
      <c r="W20" s="89" t="s">
        <v>42</v>
      </c>
      <c r="X20" s="11" t="s">
        <v>42</v>
      </c>
      <c r="Y20" s="13"/>
      <c r="Z20" s="11" t="s">
        <v>581</v>
      </c>
      <c r="AA20" s="11" t="s">
        <v>757</v>
      </c>
      <c r="AB20" s="12" t="s">
        <v>758</v>
      </c>
      <c r="AC20" s="11" t="s">
        <v>759</v>
      </c>
      <c r="AD20" s="13"/>
      <c r="AE20" s="13"/>
      <c r="AF20" s="13"/>
    </row>
    <row r="21">
      <c r="A21" s="29" t="s">
        <v>760</v>
      </c>
      <c r="B21" s="29" t="s">
        <v>761</v>
      </c>
      <c r="C21" s="87"/>
      <c r="D21" s="30" t="s">
        <v>762</v>
      </c>
      <c r="E21" s="30" t="s">
        <v>763</v>
      </c>
      <c r="F21" s="29" t="s">
        <v>764</v>
      </c>
      <c r="G21" s="29">
        <v>288.265</v>
      </c>
      <c r="H21" s="87">
        <f>+19.774</f>
        <v>19.774</v>
      </c>
      <c r="I21" s="29" t="s">
        <v>765</v>
      </c>
      <c r="J21" s="6" t="s">
        <v>766</v>
      </c>
      <c r="K21" s="29" t="s">
        <v>767</v>
      </c>
      <c r="L21" s="6" t="s">
        <v>768</v>
      </c>
      <c r="M21" s="6" t="s">
        <v>769</v>
      </c>
      <c r="N21" s="29" t="s">
        <v>770</v>
      </c>
      <c r="O21" s="29">
        <v>0.151</v>
      </c>
      <c r="P21" s="29">
        <v>15.0</v>
      </c>
      <c r="Q21" s="29" t="s">
        <v>771</v>
      </c>
      <c r="R21" s="29" t="s">
        <v>772</v>
      </c>
      <c r="S21" s="29" t="s">
        <v>773</v>
      </c>
      <c r="T21" s="29" t="s">
        <v>774</v>
      </c>
      <c r="U21" s="29" t="s">
        <v>775</v>
      </c>
      <c r="V21" s="29" t="s">
        <v>776</v>
      </c>
      <c r="W21" s="29" t="s">
        <v>777</v>
      </c>
      <c r="X21" s="91" t="s">
        <v>778</v>
      </c>
      <c r="Y21" s="29" t="s">
        <v>779</v>
      </c>
      <c r="Z21" s="6" t="s">
        <v>581</v>
      </c>
      <c r="AA21" s="6" t="s">
        <v>780</v>
      </c>
      <c r="AB21" s="5" t="s">
        <v>781</v>
      </c>
      <c r="AC21" s="6" t="s">
        <v>782</v>
      </c>
      <c r="AD21" s="30" t="s">
        <v>783</v>
      </c>
      <c r="AE21" s="31"/>
      <c r="AF21" s="31"/>
    </row>
    <row r="22">
      <c r="D22" s="57"/>
      <c r="E22" s="57"/>
      <c r="G22" s="57"/>
      <c r="H22" s="57"/>
      <c r="I22" s="57"/>
      <c r="J22" s="57"/>
      <c r="L22" s="57"/>
      <c r="M22" s="57"/>
      <c r="V22" s="68"/>
      <c r="W22" s="68" t="s">
        <v>760</v>
      </c>
      <c r="X22" s="34" t="s">
        <v>784</v>
      </c>
      <c r="Y22" s="68" t="s">
        <v>785</v>
      </c>
      <c r="Z22" s="65"/>
      <c r="AA22" s="57"/>
      <c r="AB22" s="57"/>
      <c r="AC22" s="57"/>
      <c r="AD22" s="57"/>
      <c r="AE22" s="57"/>
      <c r="AF22" s="57"/>
    </row>
    <row r="23">
      <c r="D23" s="57"/>
      <c r="E23" s="57"/>
      <c r="G23" s="57"/>
      <c r="H23" s="57"/>
      <c r="I23" s="57"/>
      <c r="J23" s="57"/>
      <c r="L23" s="57"/>
      <c r="M23" s="57"/>
      <c r="U23" s="57"/>
      <c r="V23" s="57"/>
      <c r="W23" s="68" t="s">
        <v>760</v>
      </c>
      <c r="X23" s="69" t="s">
        <v>786</v>
      </c>
      <c r="Y23" s="57"/>
      <c r="Z23" s="57"/>
      <c r="AA23" s="57"/>
      <c r="AB23" s="57"/>
      <c r="AC23" s="57"/>
      <c r="AD23" s="57"/>
      <c r="AE23" s="57"/>
      <c r="AF23" s="57"/>
    </row>
    <row r="24">
      <c r="D24" s="57"/>
      <c r="E24" s="57"/>
      <c r="G24" s="57"/>
      <c r="H24" s="57"/>
      <c r="I24" s="57"/>
      <c r="J24" s="57"/>
      <c r="L24" s="57"/>
      <c r="M24" s="57"/>
      <c r="U24" s="57"/>
      <c r="V24" s="57"/>
      <c r="W24" s="68" t="s">
        <v>760</v>
      </c>
      <c r="X24" s="69" t="s">
        <v>787</v>
      </c>
      <c r="Y24" s="57"/>
      <c r="Z24" s="57"/>
      <c r="AA24" s="57"/>
      <c r="AB24" s="57"/>
      <c r="AC24" s="57"/>
      <c r="AD24" s="57"/>
      <c r="AE24" s="57"/>
      <c r="AF24" s="57"/>
    </row>
    <row r="25">
      <c r="D25" s="57"/>
      <c r="E25" s="57"/>
      <c r="G25" s="57"/>
      <c r="H25" s="57"/>
      <c r="I25" s="57"/>
      <c r="J25" s="57"/>
      <c r="L25" s="57"/>
      <c r="M25" s="57"/>
      <c r="S25" s="57"/>
      <c r="T25" s="57"/>
      <c r="U25" s="57"/>
      <c r="V25" s="57"/>
      <c r="W25" s="68" t="s">
        <v>760</v>
      </c>
      <c r="X25" s="69" t="s">
        <v>788</v>
      </c>
      <c r="Y25" s="57"/>
      <c r="Z25" s="57"/>
      <c r="AA25" s="57"/>
      <c r="AB25" s="57"/>
      <c r="AC25" s="57"/>
      <c r="AD25" s="57"/>
      <c r="AE25" s="57"/>
      <c r="AF25" s="57"/>
    </row>
    <row r="26">
      <c r="D26" s="57"/>
      <c r="E26" s="57"/>
      <c r="G26" s="57"/>
      <c r="H26" s="57"/>
      <c r="I26" s="57"/>
      <c r="J26" s="57"/>
      <c r="L26" s="57"/>
      <c r="M26" s="57"/>
      <c r="R26" s="57"/>
      <c r="S26" s="57"/>
      <c r="T26" s="57"/>
      <c r="U26" s="57"/>
      <c r="V26" s="57"/>
      <c r="W26" s="57"/>
      <c r="Y26" s="57"/>
      <c r="Z26" s="57"/>
      <c r="AA26" s="57"/>
      <c r="AB26" s="57"/>
      <c r="AC26" s="57"/>
      <c r="AD26" s="57"/>
      <c r="AE26" s="57"/>
      <c r="AF26" s="57"/>
    </row>
    <row r="27">
      <c r="A27" s="57"/>
      <c r="B27" s="57"/>
      <c r="C27" s="57"/>
      <c r="D27" s="57"/>
      <c r="E27" s="57"/>
      <c r="G27" s="57"/>
      <c r="H27" s="57"/>
      <c r="I27" s="57"/>
      <c r="J27" s="57"/>
      <c r="L27" s="57"/>
      <c r="M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</row>
    <row r="28">
      <c r="A28" s="57"/>
      <c r="B28" s="57"/>
      <c r="C28" s="57"/>
      <c r="D28" s="57"/>
      <c r="E28" s="57"/>
      <c r="G28" s="57"/>
      <c r="H28" s="57"/>
      <c r="I28" s="57"/>
      <c r="J28" s="57"/>
      <c r="L28" s="57"/>
      <c r="M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</row>
    <row r="29">
      <c r="A29" s="57"/>
      <c r="B29" s="57"/>
      <c r="C29" s="57"/>
      <c r="D29" s="57"/>
      <c r="E29" s="57"/>
      <c r="G29" s="57"/>
      <c r="H29" s="57"/>
      <c r="I29" s="57"/>
      <c r="J29" s="57"/>
      <c r="L29" s="57"/>
      <c r="M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</row>
    <row r="30">
      <c r="A30" s="57"/>
      <c r="B30" s="57"/>
      <c r="C30" s="57"/>
      <c r="D30" s="57"/>
      <c r="E30" s="57"/>
      <c r="G30" s="57"/>
      <c r="H30" s="57"/>
      <c r="I30" s="57"/>
      <c r="J30" s="57"/>
      <c r="L30" s="57"/>
      <c r="M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</row>
    <row r="31">
      <c r="A31" s="57"/>
      <c r="B31" s="57"/>
      <c r="C31" s="57"/>
      <c r="D31" s="57"/>
      <c r="E31" s="57"/>
      <c r="G31" s="57"/>
      <c r="H31" s="57"/>
      <c r="I31" s="57"/>
      <c r="J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</row>
    <row r="32">
      <c r="A32" s="57"/>
      <c r="B32" s="57"/>
      <c r="C32" s="57"/>
      <c r="D32" s="57"/>
      <c r="E32" s="57"/>
      <c r="G32" s="57"/>
      <c r="H32" s="57"/>
      <c r="I32" s="57"/>
      <c r="J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</row>
    <row r="33">
      <c r="A33" s="57"/>
      <c r="B33" s="57"/>
      <c r="C33" s="57"/>
      <c r="D33" s="57"/>
      <c r="E33" s="57"/>
      <c r="G33" s="57"/>
      <c r="H33" s="57"/>
      <c r="I33" s="57"/>
      <c r="J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</row>
    <row r="34">
      <c r="A34" s="57"/>
      <c r="B34" s="57"/>
      <c r="C34" s="57"/>
      <c r="D34" s="57"/>
      <c r="E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</row>
    <row r="35">
      <c r="A35" s="57"/>
      <c r="B35" s="57"/>
      <c r="C35" s="57"/>
      <c r="D35" s="57"/>
      <c r="E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</row>
    <row r="36">
      <c r="A36" s="57"/>
      <c r="B36" s="57"/>
      <c r="C36" s="57"/>
      <c r="D36" s="57"/>
      <c r="E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</row>
    <row r="37">
      <c r="A37" s="57"/>
      <c r="B37" s="57"/>
      <c r="C37" s="57"/>
      <c r="D37" s="57"/>
      <c r="E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</row>
    <row r="38">
      <c r="A38" s="57"/>
      <c r="B38" s="57"/>
      <c r="C38" s="57"/>
      <c r="D38" s="57"/>
      <c r="E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</row>
    <row r="75">
      <c r="J75" s="57"/>
      <c r="L75" s="57"/>
      <c r="M75" s="57"/>
    </row>
    <row r="76">
      <c r="J76" s="57"/>
      <c r="L76" s="57"/>
      <c r="M76" s="57"/>
    </row>
    <row r="77">
      <c r="J77" s="57"/>
      <c r="L77" s="57"/>
      <c r="M77" s="57"/>
    </row>
    <row r="78">
      <c r="J78" s="57"/>
      <c r="L78" s="57"/>
      <c r="M78" s="57"/>
    </row>
    <row r="79">
      <c r="J79" s="57"/>
      <c r="L79" s="57"/>
      <c r="M79" s="57"/>
    </row>
    <row r="80">
      <c r="J80" s="57"/>
      <c r="L80" s="57"/>
      <c r="M80" s="57"/>
    </row>
    <row r="81">
      <c r="J81" s="57"/>
      <c r="L81" s="57"/>
      <c r="M81" s="57"/>
    </row>
    <row r="82">
      <c r="J82" s="57"/>
      <c r="L82" s="57"/>
      <c r="M82" s="57"/>
    </row>
    <row r="83">
      <c r="J83" s="57"/>
      <c r="L83" s="57"/>
      <c r="M83" s="57"/>
    </row>
    <row r="84">
      <c r="J84" s="57"/>
      <c r="L84" s="57"/>
      <c r="M84" s="57"/>
    </row>
    <row r="85">
      <c r="J85" s="57"/>
      <c r="L85" s="57"/>
      <c r="M85" s="57"/>
    </row>
    <row r="86">
      <c r="J86" s="57"/>
      <c r="L86" s="57"/>
      <c r="M86" s="57"/>
    </row>
    <row r="87">
      <c r="J87" s="57"/>
      <c r="L87" s="57"/>
      <c r="M87" s="57"/>
    </row>
    <row r="88">
      <c r="J88" s="57"/>
      <c r="L88" s="57"/>
      <c r="M88" s="57"/>
    </row>
    <row r="89">
      <c r="J89" s="57"/>
      <c r="L89" s="57"/>
      <c r="M89" s="57"/>
    </row>
    <row r="90">
      <c r="J90" s="57"/>
      <c r="L90" s="57"/>
      <c r="M90" s="57"/>
    </row>
    <row r="91">
      <c r="J91" s="57"/>
      <c r="L91" s="57"/>
      <c r="M91" s="57"/>
    </row>
    <row r="92">
      <c r="J92" s="57"/>
      <c r="L92" s="57"/>
      <c r="M92" s="57"/>
    </row>
    <row r="93">
      <c r="J93" s="57"/>
      <c r="L93" s="57"/>
      <c r="M93" s="57"/>
    </row>
    <row r="94">
      <c r="J94" s="57"/>
      <c r="L94" s="57"/>
      <c r="M94" s="57"/>
    </row>
    <row r="95">
      <c r="J95" s="57"/>
      <c r="L95" s="57"/>
      <c r="M95" s="57"/>
    </row>
    <row r="96">
      <c r="J96" s="57"/>
      <c r="L96" s="57"/>
      <c r="M96" s="57"/>
    </row>
    <row r="97">
      <c r="J97" s="57"/>
      <c r="L97" s="57"/>
      <c r="M97" s="57"/>
    </row>
    <row r="98">
      <c r="J98" s="57"/>
      <c r="L98" s="57"/>
      <c r="M98" s="57"/>
    </row>
    <row r="99">
      <c r="J99" s="57"/>
      <c r="L99" s="57"/>
      <c r="M99" s="57"/>
    </row>
    <row r="100">
      <c r="J100" s="57"/>
      <c r="L100" s="57"/>
      <c r="M100" s="57"/>
    </row>
    <row r="101">
      <c r="J101" s="57"/>
      <c r="L101" s="57"/>
      <c r="M101" s="57"/>
    </row>
    <row r="102">
      <c r="J102" s="57"/>
      <c r="L102" s="57"/>
      <c r="M102" s="57"/>
    </row>
    <row r="103">
      <c r="J103" s="57"/>
      <c r="L103" s="57"/>
      <c r="M103" s="57"/>
    </row>
    <row r="104">
      <c r="J104" s="57"/>
      <c r="L104" s="57"/>
      <c r="M104" s="57"/>
    </row>
    <row r="105">
      <c r="J105" s="57"/>
      <c r="L105" s="57"/>
      <c r="M105" s="57"/>
    </row>
    <row r="106">
      <c r="J106" s="57"/>
      <c r="L106" s="57"/>
      <c r="M106" s="57"/>
    </row>
    <row r="107">
      <c r="J107" s="57"/>
      <c r="L107" s="57"/>
      <c r="M107" s="57"/>
    </row>
    <row r="108">
      <c r="J108" s="57"/>
      <c r="L108" s="57"/>
      <c r="M108" s="57"/>
    </row>
    <row r="109">
      <c r="J109" s="57"/>
      <c r="L109" s="57"/>
      <c r="M109" s="57"/>
    </row>
    <row r="110">
      <c r="J110" s="57"/>
      <c r="L110" s="57"/>
      <c r="M110" s="57"/>
    </row>
    <row r="111">
      <c r="J111" s="57"/>
      <c r="L111" s="57"/>
      <c r="M111" s="57"/>
    </row>
    <row r="112">
      <c r="J112" s="57"/>
      <c r="L112" s="57"/>
      <c r="M112" s="57"/>
    </row>
    <row r="113">
      <c r="J113" s="57"/>
      <c r="L113" s="57"/>
      <c r="M113" s="57"/>
    </row>
    <row r="114">
      <c r="J114" s="57"/>
      <c r="L114" s="57"/>
      <c r="M114" s="57"/>
    </row>
    <row r="115">
      <c r="J115" s="57"/>
      <c r="L115" s="57"/>
      <c r="M115" s="57"/>
    </row>
    <row r="116">
      <c r="J116" s="57"/>
      <c r="L116" s="57"/>
      <c r="M116" s="57"/>
    </row>
    <row r="117">
      <c r="J117" s="57"/>
      <c r="L117" s="57"/>
      <c r="M117" s="57"/>
    </row>
    <row r="118">
      <c r="J118" s="57"/>
      <c r="L118" s="57"/>
      <c r="M118" s="57"/>
    </row>
    <row r="119">
      <c r="J119" s="57"/>
      <c r="L119" s="57"/>
      <c r="M119" s="57"/>
    </row>
    <row r="120">
      <c r="J120" s="57"/>
      <c r="L120" s="57"/>
      <c r="M120" s="57"/>
    </row>
    <row r="121">
      <c r="J121" s="57"/>
      <c r="L121" s="57"/>
      <c r="M121" s="57"/>
    </row>
    <row r="122">
      <c r="J122" s="57"/>
      <c r="L122" s="57"/>
      <c r="M122" s="57"/>
    </row>
    <row r="123">
      <c r="J123" s="57"/>
      <c r="L123" s="57"/>
      <c r="M123" s="57"/>
    </row>
    <row r="124">
      <c r="J124" s="57"/>
      <c r="L124" s="57"/>
      <c r="M124" s="57"/>
    </row>
    <row r="125">
      <c r="J125" s="57"/>
      <c r="L125" s="57"/>
      <c r="M125" s="57"/>
    </row>
    <row r="126">
      <c r="J126" s="57"/>
      <c r="L126" s="57"/>
      <c r="M126" s="57"/>
    </row>
    <row r="127">
      <c r="J127" s="57"/>
      <c r="L127" s="57"/>
      <c r="M127" s="57"/>
    </row>
    <row r="128">
      <c r="J128" s="57"/>
      <c r="L128" s="57"/>
      <c r="M128" s="57"/>
    </row>
    <row r="129">
      <c r="J129" s="57"/>
      <c r="L129" s="57"/>
      <c r="M129" s="57"/>
    </row>
    <row r="130">
      <c r="J130" s="57"/>
      <c r="L130" s="57"/>
      <c r="M130" s="57"/>
    </row>
    <row r="131">
      <c r="J131" s="57"/>
      <c r="L131" s="57"/>
      <c r="M131" s="57"/>
    </row>
    <row r="132">
      <c r="J132" s="57"/>
      <c r="L132" s="57"/>
      <c r="M132" s="57"/>
    </row>
    <row r="133">
      <c r="J133" s="57"/>
      <c r="L133" s="57"/>
      <c r="M133" s="57"/>
    </row>
    <row r="134">
      <c r="J134" s="57"/>
      <c r="L134" s="57"/>
      <c r="M134" s="57"/>
    </row>
    <row r="135">
      <c r="J135" s="57"/>
      <c r="L135" s="57"/>
      <c r="M135" s="57"/>
    </row>
    <row r="136">
      <c r="J136" s="57"/>
      <c r="L136" s="57"/>
      <c r="M136" s="57"/>
    </row>
    <row r="137">
      <c r="J137" s="57"/>
      <c r="L137" s="57"/>
      <c r="M137" s="57"/>
    </row>
    <row r="138">
      <c r="J138" s="57"/>
      <c r="L138" s="57"/>
      <c r="M138" s="57"/>
    </row>
    <row r="139">
      <c r="J139" s="57"/>
      <c r="L139" s="57"/>
      <c r="M139" s="57"/>
    </row>
    <row r="140">
      <c r="J140" s="57"/>
      <c r="L140" s="57"/>
      <c r="M140" s="57"/>
    </row>
    <row r="141">
      <c r="J141" s="57"/>
      <c r="L141" s="57"/>
      <c r="M141" s="57"/>
    </row>
    <row r="142">
      <c r="J142" s="57"/>
      <c r="L142" s="57"/>
      <c r="M142" s="57"/>
    </row>
    <row r="143">
      <c r="J143" s="57"/>
      <c r="L143" s="57"/>
      <c r="M143" s="57"/>
    </row>
    <row r="144">
      <c r="J144" s="57"/>
      <c r="L144" s="57"/>
      <c r="M144" s="57"/>
    </row>
    <row r="145">
      <c r="J145" s="57"/>
      <c r="L145" s="57"/>
      <c r="M145" s="57"/>
    </row>
    <row r="146">
      <c r="J146" s="57"/>
      <c r="L146" s="57"/>
      <c r="M146" s="57"/>
    </row>
    <row r="147">
      <c r="J147" s="57"/>
      <c r="L147" s="57"/>
      <c r="M147" s="57"/>
    </row>
    <row r="148">
      <c r="J148" s="57"/>
      <c r="L148" s="57"/>
      <c r="M148" s="57"/>
    </row>
    <row r="149">
      <c r="J149" s="57"/>
      <c r="L149" s="57"/>
      <c r="M149" s="57"/>
    </row>
    <row r="150">
      <c r="J150" s="57"/>
      <c r="L150" s="57"/>
      <c r="M150" s="57"/>
    </row>
    <row r="151">
      <c r="J151" s="57"/>
      <c r="L151" s="57"/>
      <c r="M151" s="57"/>
    </row>
    <row r="152">
      <c r="J152" s="57"/>
      <c r="L152" s="57"/>
      <c r="M152" s="57"/>
    </row>
    <row r="153">
      <c r="J153" s="57"/>
      <c r="L153" s="57"/>
      <c r="M153" s="57"/>
    </row>
    <row r="154">
      <c r="J154" s="57"/>
      <c r="L154" s="57"/>
      <c r="M154" s="57"/>
    </row>
    <row r="155">
      <c r="J155" s="57"/>
      <c r="L155" s="57"/>
      <c r="M155" s="57"/>
    </row>
    <row r="156">
      <c r="J156" s="57"/>
      <c r="L156" s="57"/>
      <c r="M156" s="57"/>
    </row>
    <row r="157">
      <c r="J157" s="57"/>
      <c r="L157" s="57"/>
      <c r="M157" s="57"/>
    </row>
    <row r="158">
      <c r="J158" s="57"/>
      <c r="L158" s="57"/>
      <c r="M158" s="57"/>
    </row>
    <row r="159">
      <c r="J159" s="57"/>
      <c r="L159" s="57"/>
      <c r="M159" s="57"/>
    </row>
    <row r="160">
      <c r="J160" s="57"/>
      <c r="L160" s="57"/>
      <c r="M160" s="57"/>
    </row>
    <row r="161">
      <c r="J161" s="57"/>
      <c r="L161" s="57"/>
      <c r="M161" s="57"/>
    </row>
    <row r="162">
      <c r="J162" s="57"/>
      <c r="L162" s="57"/>
      <c r="M162" s="57"/>
    </row>
    <row r="163">
      <c r="J163" s="57"/>
      <c r="L163" s="57"/>
      <c r="M163" s="57"/>
    </row>
    <row r="164">
      <c r="J164" s="57"/>
      <c r="L164" s="57"/>
      <c r="M164" s="57"/>
    </row>
    <row r="165">
      <c r="J165" s="57"/>
      <c r="L165" s="57"/>
      <c r="M165" s="57"/>
    </row>
    <row r="166">
      <c r="J166" s="57"/>
      <c r="L166" s="57"/>
      <c r="M166" s="57"/>
    </row>
    <row r="167">
      <c r="J167" s="57"/>
      <c r="L167" s="57"/>
      <c r="M167" s="57"/>
    </row>
    <row r="168">
      <c r="J168" s="57"/>
      <c r="L168" s="57"/>
      <c r="M168" s="57"/>
    </row>
    <row r="169">
      <c r="J169" s="57"/>
      <c r="L169" s="57"/>
      <c r="M169" s="57"/>
    </row>
    <row r="170">
      <c r="J170" s="57"/>
      <c r="L170" s="57"/>
      <c r="M170" s="57"/>
    </row>
    <row r="171">
      <c r="J171" s="57"/>
      <c r="L171" s="57"/>
      <c r="M171" s="57"/>
    </row>
    <row r="172">
      <c r="J172" s="57"/>
      <c r="L172" s="57"/>
      <c r="M172" s="57"/>
    </row>
    <row r="173">
      <c r="J173" s="57"/>
      <c r="L173" s="57"/>
      <c r="M173" s="57"/>
    </row>
    <row r="174">
      <c r="J174" s="57"/>
      <c r="L174" s="57"/>
      <c r="M174" s="57"/>
    </row>
    <row r="175">
      <c r="J175" s="57"/>
      <c r="L175" s="57"/>
      <c r="M175" s="57"/>
    </row>
    <row r="176">
      <c r="J176" s="57"/>
      <c r="L176" s="57"/>
      <c r="M176" s="57"/>
    </row>
    <row r="177">
      <c r="J177" s="57"/>
      <c r="L177" s="57"/>
      <c r="M177" s="57"/>
    </row>
    <row r="178">
      <c r="J178" s="57"/>
      <c r="L178" s="57"/>
      <c r="M178" s="57"/>
    </row>
    <row r="179">
      <c r="J179" s="57"/>
      <c r="L179" s="57"/>
      <c r="M179" s="57"/>
    </row>
    <row r="180">
      <c r="J180" s="57"/>
      <c r="L180" s="57"/>
      <c r="M180" s="57"/>
    </row>
    <row r="181">
      <c r="J181" s="57"/>
      <c r="L181" s="57"/>
      <c r="M181" s="57"/>
    </row>
    <row r="182">
      <c r="J182" s="57"/>
      <c r="L182" s="57"/>
      <c r="M182" s="57"/>
    </row>
    <row r="183">
      <c r="J183" s="57"/>
      <c r="L183" s="57"/>
      <c r="M183" s="57"/>
    </row>
    <row r="184">
      <c r="J184" s="57"/>
      <c r="L184" s="57"/>
      <c r="M184" s="57"/>
    </row>
    <row r="185">
      <c r="J185" s="57"/>
      <c r="L185" s="57"/>
      <c r="M185" s="57"/>
    </row>
    <row r="186">
      <c r="J186" s="57"/>
      <c r="L186" s="57"/>
      <c r="M186" s="57"/>
    </row>
    <row r="187">
      <c r="J187" s="57"/>
      <c r="L187" s="57"/>
      <c r="M187" s="57"/>
    </row>
    <row r="188">
      <c r="J188" s="57"/>
      <c r="L188" s="57"/>
      <c r="M188" s="57"/>
    </row>
    <row r="189">
      <c r="J189" s="57"/>
      <c r="L189" s="57"/>
      <c r="M189" s="57"/>
    </row>
    <row r="190">
      <c r="J190" s="57"/>
      <c r="L190" s="57"/>
      <c r="M190" s="57"/>
    </row>
    <row r="191">
      <c r="J191" s="57"/>
      <c r="L191" s="57"/>
      <c r="M191" s="57"/>
    </row>
    <row r="192">
      <c r="J192" s="57"/>
      <c r="L192" s="57"/>
      <c r="M192" s="57"/>
    </row>
    <row r="193">
      <c r="J193" s="57"/>
      <c r="L193" s="57"/>
      <c r="M193" s="57"/>
    </row>
    <row r="194">
      <c r="J194" s="57"/>
      <c r="L194" s="57"/>
      <c r="M194" s="57"/>
    </row>
    <row r="195">
      <c r="J195" s="57"/>
      <c r="L195" s="57"/>
      <c r="M195" s="57"/>
    </row>
    <row r="196">
      <c r="J196" s="57"/>
      <c r="L196" s="57"/>
      <c r="M196" s="57"/>
    </row>
    <row r="197">
      <c r="J197" s="57"/>
      <c r="L197" s="57"/>
      <c r="M197" s="57"/>
    </row>
    <row r="198">
      <c r="J198" s="57"/>
      <c r="L198" s="57"/>
      <c r="M198" s="57"/>
    </row>
    <row r="199">
      <c r="J199" s="57"/>
      <c r="L199" s="57"/>
      <c r="M199" s="57"/>
    </row>
    <row r="200">
      <c r="J200" s="57"/>
      <c r="L200" s="57"/>
      <c r="M200" s="57"/>
    </row>
    <row r="201">
      <c r="J201" s="57"/>
      <c r="L201" s="57"/>
      <c r="M201" s="57"/>
    </row>
    <row r="202">
      <c r="J202" s="57"/>
      <c r="L202" s="57"/>
      <c r="M202" s="57"/>
    </row>
    <row r="203">
      <c r="J203" s="57"/>
      <c r="L203" s="57"/>
      <c r="M203" s="57"/>
    </row>
    <row r="204">
      <c r="J204" s="57"/>
      <c r="L204" s="57"/>
      <c r="M204" s="57"/>
    </row>
    <row r="205">
      <c r="J205" s="57"/>
      <c r="L205" s="57"/>
      <c r="M205" s="57"/>
    </row>
    <row r="206">
      <c r="J206" s="57"/>
      <c r="L206" s="57"/>
      <c r="M206" s="57"/>
    </row>
    <row r="207">
      <c r="J207" s="57"/>
      <c r="L207" s="57"/>
      <c r="M207" s="57"/>
    </row>
    <row r="208">
      <c r="J208" s="57"/>
      <c r="L208" s="57"/>
      <c r="M208" s="57"/>
    </row>
    <row r="209">
      <c r="J209" s="57"/>
      <c r="L209" s="57"/>
      <c r="M209" s="57"/>
    </row>
    <row r="210">
      <c r="J210" s="57"/>
      <c r="L210" s="57"/>
      <c r="M210" s="57"/>
    </row>
    <row r="211">
      <c r="J211" s="57"/>
      <c r="L211" s="57"/>
      <c r="M211" s="57"/>
    </row>
    <row r="212">
      <c r="J212" s="57"/>
      <c r="L212" s="57"/>
      <c r="M212" s="57"/>
    </row>
    <row r="213">
      <c r="J213" s="57"/>
      <c r="L213" s="57"/>
      <c r="M213" s="57"/>
    </row>
    <row r="214">
      <c r="J214" s="57"/>
      <c r="L214" s="57"/>
      <c r="M214" s="57"/>
    </row>
    <row r="215">
      <c r="J215" s="57"/>
      <c r="L215" s="57"/>
      <c r="M215" s="57"/>
    </row>
    <row r="216">
      <c r="J216" s="57"/>
      <c r="L216" s="57"/>
      <c r="M216" s="57"/>
    </row>
    <row r="217">
      <c r="J217" s="57"/>
      <c r="L217" s="57"/>
      <c r="M217" s="57"/>
    </row>
    <row r="218">
      <c r="J218" s="57"/>
      <c r="L218" s="57"/>
      <c r="M218" s="57"/>
    </row>
    <row r="219">
      <c r="J219" s="57"/>
      <c r="L219" s="57"/>
      <c r="M219" s="57"/>
    </row>
    <row r="220">
      <c r="J220" s="57"/>
      <c r="L220" s="57"/>
      <c r="M220" s="57"/>
    </row>
    <row r="221">
      <c r="J221" s="57"/>
      <c r="L221" s="57"/>
      <c r="M221" s="57"/>
    </row>
    <row r="222">
      <c r="J222" s="57"/>
      <c r="L222" s="57"/>
      <c r="M222" s="57"/>
    </row>
    <row r="223">
      <c r="J223" s="57"/>
      <c r="L223" s="57"/>
      <c r="M223" s="57"/>
    </row>
    <row r="224">
      <c r="J224" s="57"/>
      <c r="L224" s="57"/>
      <c r="M224" s="57"/>
    </row>
    <row r="225">
      <c r="J225" s="57"/>
      <c r="L225" s="57"/>
      <c r="M225" s="57"/>
    </row>
    <row r="226">
      <c r="J226" s="57"/>
      <c r="L226" s="57"/>
      <c r="M226" s="57"/>
    </row>
    <row r="227">
      <c r="J227" s="57"/>
      <c r="L227" s="57"/>
      <c r="M227" s="57"/>
    </row>
    <row r="228">
      <c r="J228" s="57"/>
      <c r="L228" s="57"/>
      <c r="M228" s="57"/>
    </row>
    <row r="229">
      <c r="J229" s="57"/>
      <c r="L229" s="57"/>
      <c r="M229" s="57"/>
    </row>
    <row r="230">
      <c r="J230" s="57"/>
      <c r="L230" s="57"/>
      <c r="M230" s="57"/>
    </row>
    <row r="231">
      <c r="J231" s="57"/>
      <c r="L231" s="57"/>
      <c r="M231" s="57"/>
    </row>
    <row r="232">
      <c r="J232" s="57"/>
      <c r="L232" s="57"/>
      <c r="M232" s="57"/>
    </row>
    <row r="233">
      <c r="J233" s="57"/>
      <c r="L233" s="57"/>
      <c r="M233" s="57"/>
    </row>
    <row r="234">
      <c r="J234" s="57"/>
      <c r="L234" s="57"/>
      <c r="M234" s="57"/>
    </row>
    <row r="235">
      <c r="J235" s="57"/>
      <c r="L235" s="57"/>
      <c r="M235" s="57"/>
    </row>
    <row r="236">
      <c r="J236" s="57"/>
      <c r="L236" s="57"/>
      <c r="M236" s="57"/>
    </row>
    <row r="237">
      <c r="J237" s="57"/>
      <c r="L237" s="57"/>
      <c r="M237" s="57"/>
    </row>
    <row r="238">
      <c r="J238" s="57"/>
      <c r="L238" s="57"/>
      <c r="M238" s="57"/>
    </row>
    <row r="239">
      <c r="J239" s="57"/>
      <c r="L239" s="57"/>
      <c r="M239" s="57"/>
    </row>
    <row r="240">
      <c r="J240" s="57"/>
      <c r="L240" s="57"/>
      <c r="M240" s="57"/>
    </row>
    <row r="241">
      <c r="J241" s="57"/>
      <c r="L241" s="57"/>
      <c r="M241" s="57"/>
    </row>
    <row r="242">
      <c r="J242" s="57"/>
      <c r="L242" s="57"/>
      <c r="M242" s="57"/>
    </row>
    <row r="243">
      <c r="J243" s="57"/>
      <c r="L243" s="57"/>
      <c r="M243" s="57"/>
    </row>
    <row r="244">
      <c r="J244" s="57"/>
      <c r="L244" s="57"/>
      <c r="M244" s="57"/>
    </row>
    <row r="245">
      <c r="J245" s="57"/>
      <c r="L245" s="57"/>
      <c r="M245" s="57"/>
    </row>
    <row r="246">
      <c r="J246" s="57"/>
      <c r="L246" s="57"/>
      <c r="M246" s="57"/>
    </row>
    <row r="247">
      <c r="J247" s="57"/>
      <c r="L247" s="57"/>
      <c r="M247" s="57"/>
    </row>
    <row r="248">
      <c r="J248" s="57"/>
      <c r="L248" s="57"/>
      <c r="M248" s="57"/>
    </row>
    <row r="249">
      <c r="J249" s="57"/>
      <c r="L249" s="57"/>
      <c r="M249" s="57"/>
    </row>
    <row r="250">
      <c r="J250" s="57"/>
      <c r="L250" s="57"/>
      <c r="M250" s="57"/>
    </row>
    <row r="251">
      <c r="J251" s="57"/>
      <c r="L251" s="57"/>
      <c r="M251" s="57"/>
    </row>
    <row r="252">
      <c r="J252" s="57"/>
      <c r="L252" s="57"/>
      <c r="M252" s="57"/>
    </row>
    <row r="253">
      <c r="J253" s="57"/>
      <c r="L253" s="57"/>
      <c r="M253" s="57"/>
    </row>
    <row r="254">
      <c r="J254" s="57"/>
      <c r="L254" s="57"/>
      <c r="M254" s="57"/>
    </row>
    <row r="255">
      <c r="J255" s="57"/>
      <c r="L255" s="57"/>
      <c r="M255" s="57"/>
    </row>
    <row r="256">
      <c r="J256" s="57"/>
      <c r="L256" s="57"/>
      <c r="M256" s="57"/>
    </row>
    <row r="257">
      <c r="J257" s="57"/>
      <c r="L257" s="57"/>
      <c r="M257" s="57"/>
    </row>
    <row r="258">
      <c r="J258" s="57"/>
      <c r="L258" s="57"/>
      <c r="M258" s="57"/>
    </row>
    <row r="259">
      <c r="J259" s="57"/>
      <c r="L259" s="57"/>
      <c r="M259" s="57"/>
    </row>
    <row r="260">
      <c r="J260" s="57"/>
      <c r="L260" s="57"/>
      <c r="M260" s="57"/>
    </row>
    <row r="261">
      <c r="J261" s="57"/>
      <c r="L261" s="57"/>
      <c r="M261" s="57"/>
    </row>
    <row r="262">
      <c r="J262" s="57"/>
      <c r="L262" s="57"/>
      <c r="M262" s="57"/>
    </row>
    <row r="263">
      <c r="J263" s="57"/>
      <c r="L263" s="57"/>
      <c r="M263" s="57"/>
    </row>
    <row r="264">
      <c r="J264" s="57"/>
      <c r="L264" s="57"/>
      <c r="M264" s="57"/>
    </row>
    <row r="265">
      <c r="J265" s="57"/>
      <c r="L265" s="57"/>
      <c r="M265" s="57"/>
    </row>
    <row r="266">
      <c r="J266" s="57"/>
      <c r="L266" s="57"/>
      <c r="M266" s="57"/>
    </row>
    <row r="267">
      <c r="J267" s="57"/>
      <c r="L267" s="57"/>
      <c r="M267" s="57"/>
    </row>
    <row r="268">
      <c r="J268" s="57"/>
      <c r="L268" s="57"/>
      <c r="M268" s="57"/>
    </row>
    <row r="269">
      <c r="J269" s="57"/>
      <c r="L269" s="57"/>
      <c r="M269" s="57"/>
    </row>
    <row r="270">
      <c r="J270" s="57"/>
      <c r="L270" s="57"/>
      <c r="M270" s="57"/>
    </row>
    <row r="271">
      <c r="J271" s="57"/>
      <c r="L271" s="57"/>
      <c r="M271" s="57"/>
    </row>
    <row r="272">
      <c r="J272" s="57"/>
      <c r="L272" s="57"/>
      <c r="M272" s="57"/>
    </row>
    <row r="273">
      <c r="J273" s="57"/>
      <c r="L273" s="57"/>
      <c r="M273" s="57"/>
    </row>
    <row r="274">
      <c r="J274" s="57"/>
      <c r="L274" s="57"/>
      <c r="M274" s="57"/>
    </row>
    <row r="275">
      <c r="J275" s="57"/>
      <c r="L275" s="57"/>
      <c r="M275" s="57"/>
    </row>
    <row r="276">
      <c r="J276" s="57"/>
      <c r="L276" s="57"/>
      <c r="M276" s="57"/>
    </row>
    <row r="277">
      <c r="J277" s="57"/>
      <c r="L277" s="57"/>
      <c r="M277" s="57"/>
    </row>
    <row r="278">
      <c r="J278" s="57"/>
      <c r="L278" s="57"/>
      <c r="M278" s="57"/>
    </row>
    <row r="279">
      <c r="J279" s="57"/>
      <c r="L279" s="57"/>
      <c r="M279" s="57"/>
    </row>
    <row r="280">
      <c r="J280" s="57"/>
      <c r="L280" s="57"/>
      <c r="M280" s="57"/>
    </row>
    <row r="281">
      <c r="J281" s="57"/>
      <c r="L281" s="57"/>
      <c r="M281" s="57"/>
    </row>
    <row r="282">
      <c r="J282" s="57"/>
      <c r="L282" s="57"/>
      <c r="M282" s="57"/>
    </row>
    <row r="283">
      <c r="J283" s="57"/>
      <c r="L283" s="57"/>
      <c r="M283" s="57"/>
    </row>
    <row r="284">
      <c r="J284" s="57"/>
      <c r="L284" s="57"/>
      <c r="M284" s="57"/>
    </row>
    <row r="285">
      <c r="J285" s="57"/>
      <c r="L285" s="57"/>
      <c r="M285" s="57"/>
    </row>
    <row r="286">
      <c r="J286" s="57"/>
      <c r="L286" s="57"/>
      <c r="M286" s="57"/>
    </row>
    <row r="287">
      <c r="J287" s="57"/>
      <c r="L287" s="57"/>
      <c r="M287" s="57"/>
    </row>
    <row r="288">
      <c r="J288" s="57"/>
      <c r="L288" s="57"/>
      <c r="M288" s="57"/>
    </row>
    <row r="289">
      <c r="J289" s="57"/>
      <c r="L289" s="57"/>
      <c r="M289" s="57"/>
    </row>
    <row r="290">
      <c r="J290" s="57"/>
      <c r="L290" s="57"/>
      <c r="M290" s="57"/>
    </row>
    <row r="291">
      <c r="J291" s="57"/>
      <c r="L291" s="57"/>
      <c r="M291" s="57"/>
    </row>
    <row r="292">
      <c r="J292" s="57"/>
      <c r="L292" s="57"/>
      <c r="M292" s="57"/>
    </row>
    <row r="293">
      <c r="J293" s="57"/>
      <c r="L293" s="57"/>
      <c r="M293" s="57"/>
    </row>
    <row r="294">
      <c r="J294" s="57"/>
      <c r="L294" s="57"/>
      <c r="M294" s="57"/>
    </row>
    <row r="295">
      <c r="J295" s="57"/>
      <c r="L295" s="57"/>
      <c r="M295" s="57"/>
    </row>
    <row r="296">
      <c r="J296" s="57"/>
      <c r="L296" s="57"/>
      <c r="M296" s="57"/>
    </row>
    <row r="297">
      <c r="J297" s="57"/>
      <c r="L297" s="57"/>
      <c r="M297" s="57"/>
    </row>
    <row r="298">
      <c r="J298" s="57"/>
      <c r="L298" s="57"/>
      <c r="M298" s="57"/>
    </row>
    <row r="299">
      <c r="J299" s="57"/>
      <c r="L299" s="57"/>
      <c r="M299" s="57"/>
    </row>
    <row r="300">
      <c r="J300" s="57"/>
      <c r="L300" s="57"/>
      <c r="M300" s="57"/>
    </row>
    <row r="301">
      <c r="J301" s="57"/>
      <c r="L301" s="57"/>
      <c r="M301" s="57"/>
    </row>
    <row r="302">
      <c r="J302" s="57"/>
      <c r="L302" s="57"/>
      <c r="M302" s="57"/>
    </row>
    <row r="303">
      <c r="J303" s="57"/>
      <c r="L303" s="57"/>
      <c r="M303" s="57"/>
    </row>
    <row r="304">
      <c r="J304" s="57"/>
      <c r="L304" s="57"/>
      <c r="M304" s="57"/>
    </row>
    <row r="305">
      <c r="J305" s="57"/>
      <c r="L305" s="57"/>
      <c r="M305" s="57"/>
    </row>
    <row r="306">
      <c r="J306" s="57"/>
      <c r="L306" s="57"/>
      <c r="M306" s="57"/>
    </row>
    <row r="307">
      <c r="J307" s="57"/>
      <c r="L307" s="57"/>
      <c r="M307" s="57"/>
    </row>
    <row r="308">
      <c r="J308" s="57"/>
      <c r="L308" s="57"/>
      <c r="M308" s="57"/>
    </row>
    <row r="309">
      <c r="J309" s="57"/>
      <c r="L309" s="57"/>
      <c r="M309" s="57"/>
    </row>
    <row r="310">
      <c r="J310" s="57"/>
      <c r="L310" s="57"/>
      <c r="M310" s="57"/>
    </row>
    <row r="311">
      <c r="J311" s="57"/>
      <c r="L311" s="57"/>
      <c r="M311" s="57"/>
    </row>
    <row r="312">
      <c r="J312" s="57"/>
      <c r="L312" s="57"/>
      <c r="M312" s="57"/>
    </row>
    <row r="313">
      <c r="J313" s="57"/>
      <c r="L313" s="57"/>
      <c r="M313" s="57"/>
    </row>
    <row r="314">
      <c r="J314" s="57"/>
      <c r="L314" s="57"/>
      <c r="M314" s="57"/>
    </row>
    <row r="315">
      <c r="J315" s="57"/>
      <c r="L315" s="57"/>
      <c r="M315" s="57"/>
    </row>
    <row r="316">
      <c r="J316" s="57"/>
      <c r="L316" s="57"/>
      <c r="M316" s="57"/>
    </row>
    <row r="317">
      <c r="J317" s="57"/>
      <c r="L317" s="57"/>
      <c r="M317" s="57"/>
    </row>
    <row r="318">
      <c r="J318" s="57"/>
      <c r="L318" s="57"/>
      <c r="M318" s="57"/>
    </row>
    <row r="319">
      <c r="J319" s="57"/>
      <c r="L319" s="57"/>
      <c r="M319" s="57"/>
    </row>
    <row r="320">
      <c r="J320" s="57"/>
      <c r="L320" s="57"/>
      <c r="M320" s="57"/>
    </row>
    <row r="321">
      <c r="J321" s="57"/>
      <c r="L321" s="57"/>
      <c r="M321" s="57"/>
    </row>
    <row r="322">
      <c r="J322" s="57"/>
      <c r="L322" s="57"/>
      <c r="M322" s="57"/>
    </row>
    <row r="323">
      <c r="J323" s="57"/>
      <c r="L323" s="57"/>
      <c r="M323" s="57"/>
    </row>
    <row r="324">
      <c r="J324" s="57"/>
      <c r="L324" s="57"/>
      <c r="M324" s="57"/>
    </row>
    <row r="325">
      <c r="J325" s="57"/>
      <c r="L325" s="57"/>
      <c r="M325" s="57"/>
    </row>
    <row r="326">
      <c r="J326" s="57"/>
      <c r="L326" s="57"/>
      <c r="M326" s="57"/>
    </row>
    <row r="327">
      <c r="J327" s="57"/>
      <c r="L327" s="57"/>
      <c r="M327" s="57"/>
    </row>
    <row r="328">
      <c r="J328" s="57"/>
      <c r="L328" s="57"/>
      <c r="M328" s="57"/>
    </row>
    <row r="329">
      <c r="J329" s="57"/>
      <c r="L329" s="57"/>
      <c r="M329" s="57"/>
    </row>
    <row r="330">
      <c r="J330" s="57"/>
      <c r="L330" s="57"/>
      <c r="M330" s="57"/>
    </row>
    <row r="331">
      <c r="J331" s="57"/>
      <c r="L331" s="57"/>
      <c r="M331" s="57"/>
    </row>
    <row r="332">
      <c r="J332" s="57"/>
      <c r="L332" s="57"/>
      <c r="M332" s="57"/>
    </row>
    <row r="333">
      <c r="J333" s="57"/>
      <c r="L333" s="57"/>
      <c r="M333" s="57"/>
    </row>
    <row r="334">
      <c r="J334" s="57"/>
      <c r="L334" s="57"/>
      <c r="M334" s="57"/>
    </row>
    <row r="335">
      <c r="J335" s="57"/>
      <c r="L335" s="57"/>
      <c r="M335" s="57"/>
    </row>
    <row r="336">
      <c r="J336" s="57"/>
      <c r="L336" s="57"/>
      <c r="M336" s="57"/>
    </row>
    <row r="337">
      <c r="J337" s="57"/>
      <c r="L337" s="57"/>
      <c r="M337" s="57"/>
    </row>
    <row r="338">
      <c r="J338" s="57"/>
      <c r="L338" s="57"/>
      <c r="M338" s="57"/>
    </row>
    <row r="339">
      <c r="J339" s="57"/>
      <c r="L339" s="57"/>
      <c r="M339" s="57"/>
    </row>
    <row r="340">
      <c r="J340" s="57"/>
      <c r="L340" s="57"/>
      <c r="M340" s="57"/>
    </row>
    <row r="341">
      <c r="J341" s="57"/>
      <c r="L341" s="57"/>
      <c r="M341" s="57"/>
    </row>
    <row r="342">
      <c r="J342" s="57"/>
      <c r="L342" s="57"/>
      <c r="M342" s="57"/>
    </row>
    <row r="343">
      <c r="J343" s="57"/>
      <c r="L343" s="57"/>
      <c r="M343" s="57"/>
    </row>
    <row r="344">
      <c r="J344" s="57"/>
      <c r="L344" s="57"/>
      <c r="M344" s="57"/>
    </row>
    <row r="345">
      <c r="J345" s="57"/>
      <c r="L345" s="57"/>
      <c r="M345" s="57"/>
    </row>
    <row r="346">
      <c r="J346" s="57"/>
      <c r="L346" s="57"/>
      <c r="M346" s="57"/>
    </row>
    <row r="347">
      <c r="J347" s="57"/>
      <c r="L347" s="57"/>
      <c r="M347" s="57"/>
    </row>
    <row r="348">
      <c r="J348" s="57"/>
      <c r="L348" s="57"/>
      <c r="M348" s="57"/>
    </row>
    <row r="349">
      <c r="J349" s="57"/>
      <c r="L349" s="57"/>
      <c r="M349" s="57"/>
    </row>
    <row r="350">
      <c r="J350" s="57"/>
      <c r="L350" s="57"/>
      <c r="M350" s="57"/>
    </row>
    <row r="351">
      <c r="J351" s="57"/>
      <c r="L351" s="57"/>
      <c r="M351" s="57"/>
    </row>
    <row r="352">
      <c r="J352" s="57"/>
      <c r="L352" s="57"/>
      <c r="M352" s="57"/>
    </row>
    <row r="353">
      <c r="J353" s="57"/>
      <c r="L353" s="57"/>
      <c r="M353" s="57"/>
    </row>
    <row r="354">
      <c r="J354" s="57"/>
      <c r="L354" s="57"/>
      <c r="M354" s="57"/>
    </row>
    <row r="355">
      <c r="J355" s="57"/>
      <c r="L355" s="57"/>
      <c r="M355" s="57"/>
    </row>
    <row r="356">
      <c r="J356" s="57"/>
      <c r="L356" s="57"/>
      <c r="M356" s="57"/>
    </row>
    <row r="357">
      <c r="J357" s="57"/>
      <c r="L357" s="57"/>
      <c r="M357" s="57"/>
    </row>
    <row r="358">
      <c r="J358" s="57"/>
      <c r="L358" s="57"/>
      <c r="M358" s="57"/>
    </row>
    <row r="359">
      <c r="J359" s="57"/>
      <c r="L359" s="57"/>
      <c r="M359" s="57"/>
    </row>
    <row r="360">
      <c r="J360" s="57"/>
      <c r="L360" s="57"/>
      <c r="M360" s="57"/>
    </row>
    <row r="361">
      <c r="J361" s="57"/>
      <c r="L361" s="57"/>
      <c r="M361" s="57"/>
    </row>
    <row r="362">
      <c r="J362" s="57"/>
      <c r="L362" s="57"/>
      <c r="M362" s="57"/>
    </row>
    <row r="363">
      <c r="J363" s="57"/>
      <c r="L363" s="57"/>
      <c r="M363" s="57"/>
    </row>
    <row r="364">
      <c r="J364" s="57"/>
      <c r="L364" s="57"/>
      <c r="M364" s="57"/>
    </row>
    <row r="365">
      <c r="J365" s="57"/>
      <c r="L365" s="57"/>
      <c r="M365" s="57"/>
    </row>
    <row r="366">
      <c r="J366" s="57"/>
      <c r="L366" s="57"/>
      <c r="M366" s="57"/>
    </row>
    <row r="367">
      <c r="J367" s="57"/>
      <c r="L367" s="57"/>
      <c r="M367" s="57"/>
    </row>
    <row r="368">
      <c r="J368" s="57"/>
      <c r="L368" s="57"/>
      <c r="M368" s="57"/>
    </row>
    <row r="369">
      <c r="J369" s="57"/>
      <c r="L369" s="57"/>
      <c r="M369" s="57"/>
    </row>
    <row r="370">
      <c r="J370" s="57"/>
      <c r="L370" s="57"/>
      <c r="M370" s="57"/>
    </row>
    <row r="371">
      <c r="J371" s="57"/>
      <c r="L371" s="57"/>
      <c r="M371" s="57"/>
    </row>
    <row r="372">
      <c r="J372" s="57"/>
      <c r="L372" s="57"/>
      <c r="M372" s="57"/>
    </row>
    <row r="373">
      <c r="J373" s="57"/>
      <c r="L373" s="57"/>
      <c r="M373" s="57"/>
    </row>
    <row r="374">
      <c r="J374" s="57"/>
      <c r="L374" s="57"/>
      <c r="M374" s="57"/>
    </row>
    <row r="375">
      <c r="J375" s="57"/>
      <c r="L375" s="57"/>
      <c r="M375" s="57"/>
    </row>
    <row r="376">
      <c r="J376" s="57"/>
      <c r="L376" s="57"/>
      <c r="M376" s="57"/>
    </row>
    <row r="377">
      <c r="J377" s="57"/>
      <c r="L377" s="57"/>
      <c r="M377" s="57"/>
    </row>
    <row r="378">
      <c r="J378" s="57"/>
      <c r="L378" s="57"/>
      <c r="M378" s="57"/>
    </row>
    <row r="379">
      <c r="J379" s="57"/>
      <c r="L379" s="57"/>
      <c r="M379" s="57"/>
    </row>
    <row r="380">
      <c r="J380" s="57"/>
      <c r="L380" s="57"/>
      <c r="M380" s="57"/>
    </row>
    <row r="381">
      <c r="J381" s="57"/>
      <c r="L381" s="57"/>
      <c r="M381" s="57"/>
    </row>
    <row r="382">
      <c r="J382" s="57"/>
      <c r="L382" s="57"/>
      <c r="M382" s="57"/>
    </row>
    <row r="383">
      <c r="J383" s="57"/>
      <c r="L383" s="57"/>
      <c r="M383" s="57"/>
    </row>
    <row r="384">
      <c r="J384" s="57"/>
      <c r="L384" s="57"/>
      <c r="M384" s="57"/>
    </row>
    <row r="385">
      <c r="J385" s="57"/>
      <c r="L385" s="57"/>
      <c r="M385" s="57"/>
    </row>
    <row r="386">
      <c r="J386" s="57"/>
      <c r="L386" s="57"/>
      <c r="M386" s="57"/>
    </row>
    <row r="387">
      <c r="J387" s="57"/>
      <c r="L387" s="57"/>
      <c r="M387" s="57"/>
    </row>
    <row r="388">
      <c r="J388" s="57"/>
      <c r="L388" s="57"/>
      <c r="M388" s="57"/>
    </row>
    <row r="389">
      <c r="J389" s="57"/>
      <c r="L389" s="57"/>
      <c r="M389" s="57"/>
    </row>
    <row r="390">
      <c r="J390" s="57"/>
      <c r="L390" s="57"/>
      <c r="M390" s="57"/>
    </row>
    <row r="391">
      <c r="J391" s="57"/>
      <c r="L391" s="57"/>
      <c r="M391" s="57"/>
    </row>
    <row r="392">
      <c r="J392" s="57"/>
      <c r="L392" s="57"/>
      <c r="M392" s="57"/>
    </row>
    <row r="393">
      <c r="J393" s="57"/>
      <c r="L393" s="57"/>
      <c r="M393" s="57"/>
    </row>
    <row r="394">
      <c r="J394" s="57"/>
      <c r="L394" s="57"/>
      <c r="M394" s="57"/>
    </row>
    <row r="395">
      <c r="J395" s="57"/>
      <c r="L395" s="57"/>
      <c r="M395" s="57"/>
    </row>
    <row r="396">
      <c r="J396" s="57"/>
      <c r="L396" s="57"/>
      <c r="M396" s="57"/>
    </row>
    <row r="397">
      <c r="J397" s="57"/>
      <c r="L397" s="57"/>
      <c r="M397" s="57"/>
    </row>
    <row r="398">
      <c r="J398" s="57"/>
      <c r="L398" s="57"/>
      <c r="M398" s="57"/>
    </row>
    <row r="399">
      <c r="J399" s="57"/>
      <c r="L399" s="57"/>
      <c r="M399" s="57"/>
    </row>
    <row r="400">
      <c r="J400" s="57"/>
      <c r="L400" s="57"/>
      <c r="M400" s="57"/>
    </row>
    <row r="401">
      <c r="J401" s="57"/>
      <c r="L401" s="57"/>
      <c r="M401" s="57"/>
    </row>
    <row r="402">
      <c r="J402" s="57"/>
      <c r="L402" s="57"/>
      <c r="M402" s="57"/>
    </row>
    <row r="403">
      <c r="J403" s="57"/>
      <c r="L403" s="57"/>
      <c r="M403" s="57"/>
    </row>
    <row r="404">
      <c r="J404" s="57"/>
      <c r="L404" s="57"/>
      <c r="M404" s="57"/>
    </row>
    <row r="405">
      <c r="J405" s="57"/>
      <c r="L405" s="57"/>
      <c r="M405" s="57"/>
    </row>
    <row r="406">
      <c r="J406" s="57"/>
      <c r="L406" s="57"/>
      <c r="M406" s="57"/>
    </row>
    <row r="407">
      <c r="J407" s="57"/>
      <c r="L407" s="57"/>
      <c r="M407" s="57"/>
    </row>
    <row r="408">
      <c r="J408" s="57"/>
      <c r="L408" s="57"/>
      <c r="M408" s="57"/>
    </row>
    <row r="409">
      <c r="J409" s="57"/>
      <c r="L409" s="57"/>
      <c r="M409" s="57"/>
    </row>
    <row r="410">
      <c r="J410" s="57"/>
      <c r="L410" s="57"/>
      <c r="M410" s="57"/>
    </row>
    <row r="411">
      <c r="J411" s="57"/>
      <c r="L411" s="57"/>
      <c r="M411" s="57"/>
    </row>
    <row r="412">
      <c r="J412" s="57"/>
      <c r="L412" s="57"/>
      <c r="M412" s="57"/>
    </row>
    <row r="413">
      <c r="J413" s="57"/>
      <c r="L413" s="57"/>
      <c r="M413" s="57"/>
    </row>
    <row r="414">
      <c r="J414" s="57"/>
      <c r="L414" s="57"/>
      <c r="M414" s="57"/>
    </row>
    <row r="415">
      <c r="J415" s="57"/>
      <c r="L415" s="57"/>
      <c r="M415" s="57"/>
    </row>
    <row r="416">
      <c r="J416" s="57"/>
      <c r="L416" s="57"/>
      <c r="M416" s="57"/>
    </row>
    <row r="417">
      <c r="J417" s="57"/>
      <c r="L417" s="57"/>
      <c r="M417" s="57"/>
    </row>
    <row r="418">
      <c r="J418" s="57"/>
      <c r="L418" s="57"/>
      <c r="M418" s="57"/>
    </row>
    <row r="419">
      <c r="J419" s="57"/>
      <c r="L419" s="57"/>
      <c r="M419" s="57"/>
    </row>
    <row r="420">
      <c r="J420" s="57"/>
      <c r="L420" s="57"/>
      <c r="M420" s="57"/>
    </row>
    <row r="421">
      <c r="J421" s="57"/>
      <c r="L421" s="57"/>
      <c r="M421" s="57"/>
    </row>
    <row r="422">
      <c r="J422" s="57"/>
      <c r="L422" s="57"/>
      <c r="M422" s="57"/>
    </row>
    <row r="423">
      <c r="J423" s="57"/>
      <c r="L423" s="57"/>
      <c r="M423" s="57"/>
    </row>
    <row r="424">
      <c r="J424" s="57"/>
      <c r="L424" s="57"/>
      <c r="M424" s="57"/>
    </row>
    <row r="425">
      <c r="J425" s="57"/>
      <c r="L425" s="57"/>
      <c r="M425" s="57"/>
    </row>
    <row r="426">
      <c r="J426" s="57"/>
      <c r="L426" s="57"/>
      <c r="M426" s="57"/>
    </row>
    <row r="427">
      <c r="J427" s="57"/>
      <c r="L427" s="57"/>
      <c r="M427" s="57"/>
    </row>
    <row r="428">
      <c r="J428" s="57"/>
      <c r="L428" s="57"/>
      <c r="M428" s="57"/>
    </row>
    <row r="429">
      <c r="J429" s="57"/>
      <c r="L429" s="57"/>
      <c r="M429" s="57"/>
    </row>
    <row r="430">
      <c r="J430" s="57"/>
      <c r="L430" s="57"/>
      <c r="M430" s="57"/>
    </row>
    <row r="431">
      <c r="J431" s="57"/>
      <c r="L431" s="57"/>
      <c r="M431" s="57"/>
    </row>
    <row r="432">
      <c r="J432" s="57"/>
      <c r="L432" s="57"/>
      <c r="M432" s="57"/>
    </row>
    <row r="433">
      <c r="J433" s="57"/>
      <c r="L433" s="57"/>
      <c r="M433" s="57"/>
    </row>
    <row r="434">
      <c r="J434" s="57"/>
      <c r="L434" s="57"/>
      <c r="M434" s="57"/>
    </row>
    <row r="435">
      <c r="J435" s="57"/>
      <c r="L435" s="57"/>
      <c r="M435" s="57"/>
    </row>
    <row r="436">
      <c r="J436" s="57"/>
      <c r="L436" s="57"/>
      <c r="M436" s="57"/>
    </row>
    <row r="437">
      <c r="J437" s="57"/>
      <c r="L437" s="57"/>
      <c r="M437" s="57"/>
    </row>
    <row r="438">
      <c r="J438" s="57"/>
      <c r="L438" s="57"/>
      <c r="M438" s="57"/>
    </row>
    <row r="439">
      <c r="J439" s="57"/>
      <c r="L439" s="57"/>
      <c r="M439" s="57"/>
    </row>
    <row r="440">
      <c r="J440" s="57"/>
      <c r="L440" s="57"/>
      <c r="M440" s="57"/>
    </row>
    <row r="441">
      <c r="J441" s="57"/>
      <c r="L441" s="57"/>
      <c r="M441" s="57"/>
    </row>
    <row r="442">
      <c r="J442" s="57"/>
      <c r="L442" s="57"/>
      <c r="M442" s="57"/>
    </row>
    <row r="443">
      <c r="J443" s="57"/>
      <c r="L443" s="57"/>
      <c r="M443" s="57"/>
    </row>
    <row r="444">
      <c r="J444" s="57"/>
      <c r="L444" s="57"/>
      <c r="M444" s="57"/>
    </row>
    <row r="445">
      <c r="J445" s="57"/>
      <c r="L445" s="57"/>
      <c r="M445" s="57"/>
    </row>
    <row r="446">
      <c r="J446" s="57"/>
      <c r="L446" s="57"/>
      <c r="M446" s="57"/>
    </row>
    <row r="447">
      <c r="J447" s="57"/>
      <c r="L447" s="57"/>
      <c r="M447" s="57"/>
    </row>
    <row r="448">
      <c r="J448" s="57"/>
      <c r="L448" s="57"/>
      <c r="M448" s="57"/>
    </row>
    <row r="449">
      <c r="J449" s="57"/>
      <c r="L449" s="57"/>
      <c r="M449" s="57"/>
    </row>
    <row r="450">
      <c r="J450" s="57"/>
      <c r="L450" s="57"/>
      <c r="M450" s="57"/>
    </row>
    <row r="451">
      <c r="J451" s="57"/>
      <c r="L451" s="57"/>
      <c r="M451" s="57"/>
    </row>
    <row r="452">
      <c r="J452" s="57"/>
      <c r="L452" s="57"/>
      <c r="M452" s="57"/>
    </row>
    <row r="453">
      <c r="J453" s="57"/>
      <c r="L453" s="57"/>
      <c r="M453" s="57"/>
    </row>
    <row r="454">
      <c r="J454" s="57"/>
      <c r="L454" s="57"/>
      <c r="M454" s="57"/>
    </row>
    <row r="455">
      <c r="J455" s="57"/>
      <c r="L455" s="57"/>
      <c r="M455" s="57"/>
    </row>
    <row r="456">
      <c r="J456" s="57"/>
      <c r="L456" s="57"/>
      <c r="M456" s="57"/>
    </row>
    <row r="457">
      <c r="J457" s="57"/>
      <c r="L457" s="57"/>
      <c r="M457" s="57"/>
    </row>
    <row r="458">
      <c r="J458" s="57"/>
      <c r="L458" s="57"/>
      <c r="M458" s="57"/>
    </row>
    <row r="459">
      <c r="J459" s="57"/>
      <c r="L459" s="57"/>
      <c r="M459" s="57"/>
    </row>
    <row r="460">
      <c r="J460" s="57"/>
      <c r="L460" s="57"/>
      <c r="M460" s="57"/>
    </row>
    <row r="461">
      <c r="J461" s="57"/>
      <c r="L461" s="57"/>
      <c r="M461" s="57"/>
    </row>
    <row r="462">
      <c r="J462" s="57"/>
      <c r="L462" s="57"/>
      <c r="M462" s="57"/>
    </row>
    <row r="463">
      <c r="J463" s="57"/>
      <c r="L463" s="57"/>
      <c r="M463" s="57"/>
    </row>
    <row r="464">
      <c r="J464" s="57"/>
      <c r="L464" s="57"/>
      <c r="M464" s="57"/>
    </row>
    <row r="465">
      <c r="J465" s="57"/>
      <c r="L465" s="57"/>
      <c r="M465" s="57"/>
    </row>
    <row r="466">
      <c r="J466" s="57"/>
      <c r="L466" s="57"/>
      <c r="M466" s="57"/>
    </row>
    <row r="467">
      <c r="J467" s="57"/>
      <c r="L467" s="57"/>
      <c r="M467" s="57"/>
    </row>
    <row r="468">
      <c r="J468" s="57"/>
      <c r="L468" s="57"/>
      <c r="M468" s="57"/>
    </row>
    <row r="469">
      <c r="J469" s="57"/>
      <c r="L469" s="57"/>
      <c r="M469" s="57"/>
    </row>
    <row r="470">
      <c r="J470" s="57"/>
      <c r="L470" s="57"/>
      <c r="M470" s="57"/>
    </row>
    <row r="471">
      <c r="J471" s="57"/>
      <c r="L471" s="57"/>
      <c r="M471" s="57"/>
    </row>
    <row r="472">
      <c r="J472" s="57"/>
      <c r="L472" s="57"/>
      <c r="M472" s="57"/>
    </row>
    <row r="473">
      <c r="J473" s="57"/>
      <c r="L473" s="57"/>
      <c r="M473" s="57"/>
    </row>
    <row r="474">
      <c r="J474" s="57"/>
      <c r="L474" s="57"/>
      <c r="M474" s="57"/>
    </row>
    <row r="475">
      <c r="J475" s="57"/>
      <c r="L475" s="57"/>
      <c r="M475" s="57"/>
    </row>
    <row r="476">
      <c r="J476" s="57"/>
      <c r="L476" s="57"/>
      <c r="M476" s="57"/>
    </row>
    <row r="477">
      <c r="J477" s="57"/>
      <c r="L477" s="57"/>
      <c r="M477" s="57"/>
    </row>
    <row r="478">
      <c r="J478" s="57"/>
      <c r="L478" s="57"/>
      <c r="M478" s="57"/>
    </row>
    <row r="479">
      <c r="J479" s="57"/>
      <c r="L479" s="57"/>
      <c r="M479" s="57"/>
    </row>
    <row r="480">
      <c r="J480" s="57"/>
      <c r="L480" s="57"/>
      <c r="M480" s="57"/>
    </row>
    <row r="481">
      <c r="J481" s="57"/>
      <c r="L481" s="57"/>
      <c r="M481" s="57"/>
    </row>
    <row r="482">
      <c r="J482" s="57"/>
      <c r="L482" s="57"/>
      <c r="M482" s="57"/>
    </row>
    <row r="483">
      <c r="J483" s="57"/>
      <c r="L483" s="57"/>
      <c r="M483" s="57"/>
    </row>
    <row r="484">
      <c r="J484" s="57"/>
      <c r="L484" s="57"/>
      <c r="M484" s="57"/>
    </row>
    <row r="485">
      <c r="J485" s="57"/>
      <c r="L485" s="57"/>
      <c r="M485" s="57"/>
    </row>
    <row r="486">
      <c r="J486" s="57"/>
      <c r="L486" s="57"/>
      <c r="M486" s="57"/>
    </row>
    <row r="487">
      <c r="J487" s="57"/>
      <c r="L487" s="57"/>
      <c r="M487" s="57"/>
    </row>
    <row r="488">
      <c r="J488" s="57"/>
      <c r="L488" s="57"/>
      <c r="M488" s="57"/>
    </row>
    <row r="489">
      <c r="J489" s="57"/>
      <c r="L489" s="57"/>
      <c r="M489" s="57"/>
    </row>
    <row r="490">
      <c r="J490" s="57"/>
      <c r="L490" s="57"/>
      <c r="M490" s="57"/>
    </row>
    <row r="491">
      <c r="J491" s="57"/>
      <c r="L491" s="57"/>
      <c r="M491" s="57"/>
    </row>
    <row r="492">
      <c r="J492" s="57"/>
      <c r="L492" s="57"/>
      <c r="M492" s="57"/>
    </row>
    <row r="493">
      <c r="J493" s="57"/>
      <c r="L493" s="57"/>
      <c r="M493" s="57"/>
    </row>
    <row r="494">
      <c r="J494" s="57"/>
      <c r="L494" s="57"/>
      <c r="M494" s="57"/>
    </row>
    <row r="495">
      <c r="J495" s="57"/>
      <c r="L495" s="57"/>
      <c r="M495" s="57"/>
    </row>
    <row r="496">
      <c r="J496" s="57"/>
      <c r="L496" s="57"/>
      <c r="M496" s="57"/>
    </row>
    <row r="497">
      <c r="J497" s="57"/>
      <c r="L497" s="57"/>
      <c r="M497" s="57"/>
    </row>
    <row r="498">
      <c r="J498" s="57"/>
      <c r="L498" s="57"/>
      <c r="M498" s="57"/>
    </row>
    <row r="499">
      <c r="J499" s="57"/>
      <c r="L499" s="57"/>
      <c r="M499" s="57"/>
    </row>
    <row r="500">
      <c r="J500" s="57"/>
      <c r="L500" s="57"/>
      <c r="M500" s="57"/>
    </row>
    <row r="501">
      <c r="J501" s="57"/>
      <c r="L501" s="57"/>
      <c r="M501" s="57"/>
    </row>
    <row r="502">
      <c r="J502" s="57"/>
      <c r="L502" s="57"/>
      <c r="M502" s="57"/>
    </row>
    <row r="503">
      <c r="J503" s="57"/>
      <c r="L503" s="57"/>
      <c r="M503" s="57"/>
    </row>
    <row r="504">
      <c r="J504" s="57"/>
      <c r="L504" s="57"/>
      <c r="M504" s="57"/>
    </row>
    <row r="505">
      <c r="J505" s="57"/>
      <c r="L505" s="57"/>
      <c r="M505" s="57"/>
    </row>
    <row r="506">
      <c r="J506" s="57"/>
      <c r="L506" s="57"/>
      <c r="M506" s="57"/>
    </row>
    <row r="507">
      <c r="J507" s="57"/>
      <c r="L507" s="57"/>
      <c r="M507" s="57"/>
    </row>
    <row r="508">
      <c r="J508" s="57"/>
      <c r="L508" s="57"/>
      <c r="M508" s="57"/>
    </row>
    <row r="509">
      <c r="J509" s="57"/>
      <c r="L509" s="57"/>
      <c r="M509" s="57"/>
    </row>
    <row r="510">
      <c r="J510" s="57"/>
      <c r="L510" s="57"/>
      <c r="M510" s="57"/>
    </row>
    <row r="511">
      <c r="J511" s="57"/>
      <c r="L511" s="57"/>
      <c r="M511" s="57"/>
    </row>
    <row r="512">
      <c r="J512" s="57"/>
      <c r="L512" s="57"/>
      <c r="M512" s="57"/>
    </row>
    <row r="513">
      <c r="J513" s="57"/>
      <c r="L513" s="57"/>
      <c r="M513" s="57"/>
    </row>
    <row r="514">
      <c r="J514" s="57"/>
      <c r="L514" s="57"/>
      <c r="M514" s="57"/>
    </row>
    <row r="515">
      <c r="J515" s="57"/>
      <c r="L515" s="57"/>
      <c r="M515" s="57"/>
    </row>
    <row r="516">
      <c r="J516" s="57"/>
      <c r="L516" s="57"/>
      <c r="M516" s="57"/>
    </row>
    <row r="517">
      <c r="J517" s="57"/>
      <c r="L517" s="57"/>
      <c r="M517" s="57"/>
    </row>
    <row r="518">
      <c r="J518" s="57"/>
      <c r="L518" s="57"/>
      <c r="M518" s="57"/>
    </row>
    <row r="519">
      <c r="J519" s="57"/>
      <c r="L519" s="57"/>
      <c r="M519" s="57"/>
    </row>
    <row r="520">
      <c r="J520" s="57"/>
      <c r="L520" s="57"/>
      <c r="M520" s="57"/>
    </row>
    <row r="521">
      <c r="J521" s="57"/>
      <c r="L521" s="57"/>
      <c r="M521" s="57"/>
    </row>
    <row r="522">
      <c r="J522" s="57"/>
      <c r="L522" s="57"/>
      <c r="M522" s="57"/>
    </row>
    <row r="523">
      <c r="J523" s="57"/>
      <c r="L523" s="57"/>
      <c r="M523" s="57"/>
    </row>
    <row r="524">
      <c r="J524" s="57"/>
      <c r="L524" s="57"/>
      <c r="M524" s="57"/>
    </row>
    <row r="525">
      <c r="J525" s="57"/>
      <c r="L525" s="57"/>
      <c r="M525" s="57"/>
    </row>
    <row r="526">
      <c r="J526" s="57"/>
      <c r="L526" s="57"/>
      <c r="M526" s="57"/>
    </row>
    <row r="527">
      <c r="J527" s="57"/>
      <c r="L527" s="57"/>
      <c r="M527" s="57"/>
    </row>
    <row r="528">
      <c r="J528" s="57"/>
      <c r="L528" s="57"/>
      <c r="M528" s="57"/>
    </row>
    <row r="529">
      <c r="J529" s="57"/>
      <c r="L529" s="57"/>
      <c r="M529" s="57"/>
    </row>
    <row r="530">
      <c r="J530" s="57"/>
      <c r="L530" s="57"/>
      <c r="M530" s="57"/>
    </row>
    <row r="531">
      <c r="J531" s="57"/>
      <c r="L531" s="57"/>
      <c r="M531" s="57"/>
    </row>
    <row r="532">
      <c r="J532" s="57"/>
      <c r="L532" s="57"/>
      <c r="M532" s="57"/>
    </row>
    <row r="533">
      <c r="J533" s="57"/>
      <c r="L533" s="57"/>
      <c r="M533" s="57"/>
    </row>
    <row r="534">
      <c r="J534" s="57"/>
      <c r="L534" s="57"/>
      <c r="M534" s="57"/>
    </row>
    <row r="535">
      <c r="J535" s="57"/>
      <c r="L535" s="57"/>
      <c r="M535" s="57"/>
    </row>
    <row r="536">
      <c r="J536" s="57"/>
      <c r="L536" s="57"/>
      <c r="M536" s="57"/>
    </row>
    <row r="537">
      <c r="J537" s="57"/>
      <c r="L537" s="57"/>
      <c r="M537" s="57"/>
    </row>
    <row r="538">
      <c r="J538" s="57"/>
      <c r="L538" s="57"/>
      <c r="M538" s="57"/>
    </row>
    <row r="539">
      <c r="J539" s="57"/>
      <c r="L539" s="57"/>
      <c r="M539" s="57"/>
    </row>
    <row r="540">
      <c r="J540" s="57"/>
      <c r="L540" s="57"/>
      <c r="M540" s="57"/>
    </row>
    <row r="541">
      <c r="J541" s="57"/>
      <c r="L541" s="57"/>
      <c r="M541" s="57"/>
    </row>
    <row r="542">
      <c r="J542" s="57"/>
      <c r="L542" s="57"/>
      <c r="M542" s="57"/>
    </row>
    <row r="543">
      <c r="J543" s="57"/>
      <c r="L543" s="57"/>
      <c r="M543" s="57"/>
    </row>
    <row r="544">
      <c r="J544" s="57"/>
      <c r="L544" s="57"/>
      <c r="M544" s="57"/>
    </row>
    <row r="545">
      <c r="J545" s="57"/>
      <c r="L545" s="57"/>
      <c r="M545" s="57"/>
    </row>
    <row r="546">
      <c r="J546" s="57"/>
      <c r="L546" s="57"/>
      <c r="M546" s="57"/>
    </row>
    <row r="547">
      <c r="J547" s="57"/>
      <c r="L547" s="57"/>
      <c r="M547" s="57"/>
    </row>
    <row r="548">
      <c r="J548" s="57"/>
      <c r="L548" s="57"/>
      <c r="M548" s="57"/>
    </row>
    <row r="549">
      <c r="J549" s="57"/>
      <c r="L549" s="57"/>
      <c r="M549" s="57"/>
    </row>
    <row r="550">
      <c r="J550" s="57"/>
      <c r="L550" s="57"/>
      <c r="M550" s="57"/>
    </row>
    <row r="551">
      <c r="J551" s="57"/>
      <c r="L551" s="57"/>
      <c r="M551" s="57"/>
    </row>
    <row r="552">
      <c r="J552" s="57"/>
      <c r="L552" s="57"/>
      <c r="M552" s="57"/>
    </row>
    <row r="553">
      <c r="J553" s="57"/>
      <c r="L553" s="57"/>
      <c r="M553" s="57"/>
    </row>
    <row r="554">
      <c r="J554" s="57"/>
      <c r="L554" s="57"/>
      <c r="M554" s="57"/>
    </row>
    <row r="555">
      <c r="J555" s="57"/>
      <c r="L555" s="57"/>
      <c r="M555" s="57"/>
    </row>
    <row r="556">
      <c r="J556" s="57"/>
      <c r="L556" s="57"/>
      <c r="M556" s="57"/>
    </row>
    <row r="557">
      <c r="J557" s="57"/>
      <c r="L557" s="57"/>
      <c r="M557" s="57"/>
    </row>
    <row r="558">
      <c r="J558" s="57"/>
      <c r="L558" s="57"/>
      <c r="M558" s="57"/>
    </row>
    <row r="559">
      <c r="J559" s="57"/>
      <c r="L559" s="57"/>
      <c r="M559" s="57"/>
    </row>
    <row r="560">
      <c r="J560" s="57"/>
      <c r="L560" s="57"/>
      <c r="M560" s="57"/>
    </row>
    <row r="561">
      <c r="J561" s="57"/>
      <c r="L561" s="57"/>
      <c r="M561" s="57"/>
    </row>
    <row r="562">
      <c r="J562" s="57"/>
      <c r="L562" s="57"/>
      <c r="M562" s="57"/>
    </row>
    <row r="563">
      <c r="J563" s="57"/>
      <c r="L563" s="57"/>
      <c r="M563" s="57"/>
    </row>
    <row r="564">
      <c r="J564" s="57"/>
      <c r="L564" s="57"/>
      <c r="M564" s="57"/>
    </row>
    <row r="565">
      <c r="J565" s="57"/>
      <c r="L565" s="57"/>
      <c r="M565" s="57"/>
    </row>
    <row r="566">
      <c r="J566" s="57"/>
      <c r="L566" s="57"/>
      <c r="M566" s="57"/>
    </row>
    <row r="567">
      <c r="J567" s="57"/>
      <c r="L567" s="57"/>
      <c r="M567" s="57"/>
    </row>
    <row r="568">
      <c r="J568" s="57"/>
      <c r="L568" s="57"/>
      <c r="M568" s="57"/>
    </row>
    <row r="569">
      <c r="J569" s="57"/>
      <c r="L569" s="57"/>
      <c r="M569" s="57"/>
    </row>
    <row r="570">
      <c r="J570" s="57"/>
      <c r="L570" s="57"/>
      <c r="M570" s="57"/>
    </row>
    <row r="571">
      <c r="J571" s="57"/>
      <c r="L571" s="57"/>
      <c r="M571" s="57"/>
    </row>
    <row r="572">
      <c r="J572" s="57"/>
      <c r="L572" s="57"/>
      <c r="M572" s="57"/>
    </row>
    <row r="573">
      <c r="J573" s="57"/>
      <c r="L573" s="57"/>
      <c r="M573" s="57"/>
    </row>
    <row r="574">
      <c r="J574" s="57"/>
      <c r="L574" s="57"/>
      <c r="M574" s="57"/>
    </row>
    <row r="575">
      <c r="J575" s="57"/>
      <c r="L575" s="57"/>
      <c r="M575" s="57"/>
    </row>
    <row r="576">
      <c r="J576" s="57"/>
      <c r="L576" s="57"/>
      <c r="M576" s="57"/>
    </row>
    <row r="577">
      <c r="J577" s="57"/>
      <c r="L577" s="57"/>
      <c r="M577" s="57"/>
    </row>
    <row r="578">
      <c r="J578" s="57"/>
      <c r="L578" s="57"/>
      <c r="M578" s="57"/>
    </row>
    <row r="579">
      <c r="J579" s="57"/>
      <c r="L579" s="57"/>
      <c r="M579" s="57"/>
    </row>
    <row r="580">
      <c r="J580" s="57"/>
      <c r="L580" s="57"/>
      <c r="M580" s="57"/>
    </row>
    <row r="581">
      <c r="J581" s="57"/>
      <c r="L581" s="57"/>
      <c r="M581" s="57"/>
    </row>
    <row r="582">
      <c r="J582" s="57"/>
      <c r="L582" s="57"/>
      <c r="M582" s="57"/>
    </row>
    <row r="583">
      <c r="J583" s="57"/>
      <c r="L583" s="57"/>
      <c r="M583" s="57"/>
    </row>
    <row r="584">
      <c r="J584" s="57"/>
      <c r="L584" s="57"/>
      <c r="M584" s="57"/>
    </row>
    <row r="585">
      <c r="J585" s="57"/>
      <c r="L585" s="57"/>
      <c r="M585" s="57"/>
    </row>
    <row r="586">
      <c r="J586" s="57"/>
      <c r="L586" s="57"/>
      <c r="M586" s="57"/>
    </row>
    <row r="587">
      <c r="J587" s="57"/>
      <c r="L587" s="57"/>
      <c r="M587" s="57"/>
    </row>
    <row r="588">
      <c r="J588" s="57"/>
      <c r="L588" s="57"/>
      <c r="M588" s="57"/>
    </row>
    <row r="589">
      <c r="J589" s="57"/>
      <c r="L589" s="57"/>
      <c r="M589" s="57"/>
    </row>
    <row r="590">
      <c r="J590" s="57"/>
      <c r="L590" s="57"/>
      <c r="M590" s="57"/>
    </row>
    <row r="591">
      <c r="J591" s="57"/>
      <c r="L591" s="57"/>
      <c r="M591" s="57"/>
    </row>
    <row r="592">
      <c r="J592" s="57"/>
      <c r="L592" s="57"/>
      <c r="M592" s="57"/>
    </row>
    <row r="593">
      <c r="J593" s="57"/>
      <c r="L593" s="57"/>
      <c r="M593" s="57"/>
    </row>
    <row r="594">
      <c r="J594" s="57"/>
      <c r="L594" s="57"/>
      <c r="M594" s="57"/>
    </row>
    <row r="595">
      <c r="J595" s="57"/>
      <c r="L595" s="57"/>
      <c r="M595" s="57"/>
    </row>
    <row r="596">
      <c r="J596" s="57"/>
      <c r="L596" s="57"/>
      <c r="M596" s="57"/>
    </row>
    <row r="597">
      <c r="J597" s="57"/>
      <c r="L597" s="57"/>
      <c r="M597" s="57"/>
    </row>
    <row r="598">
      <c r="J598" s="57"/>
      <c r="L598" s="57"/>
      <c r="M598" s="57"/>
    </row>
    <row r="599">
      <c r="J599" s="57"/>
      <c r="L599" s="57"/>
      <c r="M599" s="57"/>
    </row>
    <row r="600">
      <c r="J600" s="57"/>
      <c r="L600" s="57"/>
      <c r="M600" s="57"/>
    </row>
    <row r="601">
      <c r="J601" s="57"/>
      <c r="L601" s="57"/>
      <c r="M601" s="57"/>
    </row>
    <row r="602">
      <c r="J602" s="57"/>
      <c r="L602" s="57"/>
      <c r="M602" s="57"/>
    </row>
    <row r="603">
      <c r="J603" s="57"/>
      <c r="L603" s="57"/>
      <c r="M603" s="57"/>
    </row>
    <row r="604">
      <c r="J604" s="57"/>
      <c r="L604" s="57"/>
      <c r="M604" s="57"/>
    </row>
    <row r="605">
      <c r="J605" s="57"/>
      <c r="L605" s="57"/>
      <c r="M605" s="57"/>
    </row>
    <row r="606">
      <c r="J606" s="57"/>
      <c r="L606" s="57"/>
      <c r="M606" s="57"/>
    </row>
    <row r="607">
      <c r="J607" s="57"/>
      <c r="L607" s="57"/>
      <c r="M607" s="57"/>
    </row>
    <row r="608">
      <c r="J608" s="57"/>
      <c r="L608" s="57"/>
      <c r="M608" s="57"/>
    </row>
    <row r="609">
      <c r="J609" s="57"/>
      <c r="L609" s="57"/>
      <c r="M609" s="57"/>
    </row>
    <row r="610">
      <c r="J610" s="57"/>
      <c r="L610" s="57"/>
      <c r="M610" s="57"/>
    </row>
    <row r="611">
      <c r="J611" s="57"/>
      <c r="L611" s="57"/>
      <c r="M611" s="57"/>
    </row>
    <row r="612">
      <c r="J612" s="57"/>
      <c r="L612" s="57"/>
      <c r="M612" s="57"/>
    </row>
    <row r="613">
      <c r="J613" s="57"/>
      <c r="L613" s="57"/>
      <c r="M613" s="57"/>
    </row>
    <row r="614">
      <c r="J614" s="57"/>
      <c r="L614" s="57"/>
      <c r="M614" s="57"/>
    </row>
    <row r="615">
      <c r="J615" s="57"/>
      <c r="L615" s="57"/>
      <c r="M615" s="57"/>
    </row>
    <row r="616">
      <c r="J616" s="57"/>
      <c r="L616" s="57"/>
      <c r="M616" s="57"/>
    </row>
    <row r="617">
      <c r="J617" s="57"/>
      <c r="L617" s="57"/>
      <c r="M617" s="57"/>
    </row>
    <row r="618">
      <c r="J618" s="57"/>
      <c r="L618" s="57"/>
      <c r="M618" s="57"/>
    </row>
    <row r="619">
      <c r="J619" s="57"/>
      <c r="L619" s="57"/>
      <c r="M619" s="57"/>
    </row>
    <row r="620">
      <c r="J620" s="57"/>
      <c r="L620" s="57"/>
      <c r="M620" s="57"/>
    </row>
    <row r="621">
      <c r="J621" s="57"/>
      <c r="L621" s="57"/>
      <c r="M621" s="57"/>
    </row>
    <row r="622">
      <c r="J622" s="57"/>
      <c r="L622" s="57"/>
      <c r="M622" s="57"/>
    </row>
    <row r="623">
      <c r="J623" s="57"/>
      <c r="L623" s="57"/>
      <c r="M623" s="57"/>
    </row>
    <row r="624">
      <c r="J624" s="57"/>
      <c r="L624" s="57"/>
      <c r="M624" s="57"/>
    </row>
    <row r="625">
      <c r="J625" s="57"/>
      <c r="L625" s="57"/>
      <c r="M625" s="57"/>
    </row>
    <row r="626">
      <c r="J626" s="57"/>
      <c r="L626" s="57"/>
      <c r="M626" s="57"/>
    </row>
    <row r="627">
      <c r="J627" s="57"/>
      <c r="L627" s="57"/>
      <c r="M627" s="57"/>
    </row>
    <row r="628">
      <c r="J628" s="57"/>
      <c r="L628" s="57"/>
      <c r="M628" s="57"/>
    </row>
    <row r="629">
      <c r="J629" s="57"/>
      <c r="L629" s="57"/>
      <c r="M629" s="57"/>
    </row>
    <row r="630">
      <c r="J630" s="57"/>
      <c r="L630" s="57"/>
      <c r="M630" s="57"/>
    </row>
    <row r="631">
      <c r="J631" s="57"/>
      <c r="L631" s="57"/>
      <c r="M631" s="57"/>
    </row>
    <row r="632">
      <c r="J632" s="57"/>
      <c r="L632" s="57"/>
      <c r="M632" s="57"/>
    </row>
    <row r="633">
      <c r="J633" s="57"/>
      <c r="L633" s="57"/>
      <c r="M633" s="57"/>
    </row>
    <row r="634">
      <c r="J634" s="57"/>
      <c r="L634" s="57"/>
      <c r="M634" s="57"/>
    </row>
    <row r="635">
      <c r="J635" s="57"/>
      <c r="L635" s="57"/>
      <c r="M635" s="57"/>
    </row>
    <row r="636">
      <c r="J636" s="57"/>
      <c r="L636" s="57"/>
      <c r="M636" s="57"/>
    </row>
    <row r="637">
      <c r="J637" s="57"/>
      <c r="L637" s="57"/>
      <c r="M637" s="57"/>
    </row>
    <row r="638">
      <c r="J638" s="57"/>
      <c r="L638" s="57"/>
      <c r="M638" s="57"/>
    </row>
    <row r="639">
      <c r="J639" s="57"/>
      <c r="L639" s="57"/>
      <c r="M639" s="57"/>
    </row>
    <row r="640">
      <c r="J640" s="57"/>
      <c r="L640" s="57"/>
      <c r="M640" s="57"/>
    </row>
    <row r="641">
      <c r="J641" s="57"/>
      <c r="L641" s="57"/>
      <c r="M641" s="57"/>
    </row>
    <row r="642">
      <c r="J642" s="57"/>
      <c r="L642" s="57"/>
      <c r="M642" s="57"/>
    </row>
    <row r="643">
      <c r="J643" s="57"/>
      <c r="L643" s="57"/>
      <c r="M643" s="57"/>
    </row>
    <row r="644">
      <c r="J644" s="57"/>
      <c r="L644" s="57"/>
      <c r="M644" s="57"/>
    </row>
    <row r="645">
      <c r="J645" s="57"/>
      <c r="L645" s="57"/>
      <c r="M645" s="57"/>
    </row>
    <row r="646">
      <c r="J646" s="57"/>
      <c r="L646" s="57"/>
      <c r="M646" s="57"/>
    </row>
    <row r="647">
      <c r="J647" s="57"/>
      <c r="L647" s="57"/>
      <c r="M647" s="57"/>
    </row>
    <row r="648">
      <c r="J648" s="57"/>
      <c r="L648" s="57"/>
      <c r="M648" s="57"/>
    </row>
    <row r="649">
      <c r="J649" s="57"/>
      <c r="L649" s="57"/>
      <c r="M649" s="57"/>
    </row>
    <row r="650">
      <c r="J650" s="57"/>
      <c r="L650" s="57"/>
      <c r="M650" s="57"/>
    </row>
    <row r="651">
      <c r="J651" s="57"/>
      <c r="L651" s="57"/>
      <c r="M651" s="57"/>
    </row>
    <row r="652">
      <c r="J652" s="57"/>
      <c r="L652" s="57"/>
      <c r="M652" s="57"/>
    </row>
    <row r="653">
      <c r="J653" s="57"/>
      <c r="L653" s="57"/>
      <c r="M653" s="57"/>
    </row>
    <row r="654">
      <c r="J654" s="57"/>
      <c r="L654" s="57"/>
      <c r="M654" s="57"/>
    </row>
    <row r="655">
      <c r="J655" s="57"/>
      <c r="L655" s="57"/>
      <c r="M655" s="57"/>
    </row>
    <row r="656">
      <c r="J656" s="57"/>
      <c r="L656" s="57"/>
      <c r="M656" s="57"/>
    </row>
    <row r="657">
      <c r="J657" s="57"/>
      <c r="L657" s="57"/>
      <c r="M657" s="57"/>
    </row>
    <row r="658">
      <c r="J658" s="57"/>
      <c r="L658" s="57"/>
      <c r="M658" s="57"/>
    </row>
    <row r="659">
      <c r="J659" s="57"/>
      <c r="L659" s="57"/>
      <c r="M659" s="57"/>
    </row>
    <row r="660">
      <c r="J660" s="57"/>
      <c r="L660" s="57"/>
      <c r="M660" s="57"/>
    </row>
    <row r="661">
      <c r="J661" s="57"/>
      <c r="L661" s="57"/>
      <c r="M661" s="57"/>
    </row>
    <row r="662">
      <c r="J662" s="57"/>
      <c r="L662" s="57"/>
      <c r="M662" s="57"/>
    </row>
    <row r="663">
      <c r="J663" s="57"/>
      <c r="L663" s="57"/>
      <c r="M663" s="57"/>
    </row>
    <row r="664">
      <c r="J664" s="57"/>
      <c r="L664" s="57"/>
      <c r="M664" s="57"/>
    </row>
    <row r="665">
      <c r="J665" s="57"/>
      <c r="L665" s="57"/>
      <c r="M665" s="57"/>
    </row>
    <row r="666">
      <c r="J666" s="57"/>
      <c r="L666" s="57"/>
      <c r="M666" s="57"/>
    </row>
    <row r="667">
      <c r="J667" s="57"/>
      <c r="L667" s="57"/>
      <c r="M667" s="57"/>
    </row>
    <row r="668">
      <c r="J668" s="57"/>
      <c r="L668" s="57"/>
      <c r="M668" s="57"/>
    </row>
    <row r="669">
      <c r="J669" s="57"/>
      <c r="L669" s="57"/>
      <c r="M669" s="57"/>
    </row>
    <row r="670">
      <c r="J670" s="57"/>
      <c r="L670" s="57"/>
      <c r="M670" s="57"/>
    </row>
    <row r="671">
      <c r="J671" s="57"/>
      <c r="L671" s="57"/>
      <c r="M671" s="57"/>
    </row>
    <row r="672">
      <c r="J672" s="57"/>
      <c r="L672" s="57"/>
      <c r="M672" s="57"/>
    </row>
    <row r="673">
      <c r="J673" s="57"/>
      <c r="L673" s="57"/>
      <c r="M673" s="57"/>
    </row>
    <row r="674">
      <c r="J674" s="57"/>
      <c r="L674" s="57"/>
      <c r="M674" s="57"/>
    </row>
    <row r="675">
      <c r="J675" s="57"/>
      <c r="L675" s="57"/>
      <c r="M675" s="57"/>
    </row>
    <row r="676">
      <c r="J676" s="57"/>
      <c r="L676" s="57"/>
      <c r="M676" s="57"/>
    </row>
    <row r="677">
      <c r="J677" s="57"/>
      <c r="L677" s="57"/>
      <c r="M677" s="57"/>
    </row>
    <row r="678">
      <c r="J678" s="57"/>
      <c r="L678" s="57"/>
      <c r="M678" s="57"/>
    </row>
    <row r="679">
      <c r="J679" s="57"/>
      <c r="L679" s="57"/>
      <c r="M679" s="57"/>
    </row>
    <row r="680">
      <c r="J680" s="57"/>
      <c r="L680" s="57"/>
      <c r="M680" s="57"/>
    </row>
    <row r="681">
      <c r="J681" s="57"/>
      <c r="L681" s="57"/>
      <c r="M681" s="57"/>
    </row>
    <row r="682">
      <c r="J682" s="57"/>
      <c r="L682" s="57"/>
      <c r="M682" s="57"/>
    </row>
    <row r="683">
      <c r="J683" s="57"/>
      <c r="L683" s="57"/>
      <c r="M683" s="57"/>
    </row>
    <row r="684">
      <c r="J684" s="57"/>
      <c r="L684" s="57"/>
      <c r="M684" s="57"/>
    </row>
    <row r="685">
      <c r="J685" s="57"/>
      <c r="L685" s="57"/>
      <c r="M685" s="57"/>
    </row>
    <row r="686">
      <c r="J686" s="57"/>
      <c r="L686" s="57"/>
      <c r="M686" s="57"/>
    </row>
    <row r="687">
      <c r="J687" s="57"/>
      <c r="L687" s="57"/>
      <c r="M687" s="57"/>
    </row>
    <row r="688">
      <c r="J688" s="57"/>
      <c r="L688" s="57"/>
      <c r="M688" s="57"/>
    </row>
    <row r="689">
      <c r="J689" s="57"/>
      <c r="L689" s="57"/>
      <c r="M689" s="57"/>
    </row>
    <row r="690">
      <c r="J690" s="57"/>
      <c r="L690" s="57"/>
      <c r="M690" s="57"/>
    </row>
    <row r="691">
      <c r="J691" s="57"/>
      <c r="L691" s="57"/>
      <c r="M691" s="57"/>
    </row>
    <row r="692">
      <c r="J692" s="57"/>
      <c r="L692" s="57"/>
      <c r="M692" s="57"/>
    </row>
    <row r="693">
      <c r="J693" s="57"/>
      <c r="L693" s="57"/>
      <c r="M693" s="57"/>
    </row>
    <row r="694">
      <c r="J694" s="57"/>
      <c r="L694" s="57"/>
      <c r="M694" s="57"/>
    </row>
    <row r="695">
      <c r="J695" s="57"/>
      <c r="L695" s="57"/>
      <c r="M695" s="57"/>
    </row>
    <row r="696">
      <c r="J696" s="57"/>
      <c r="L696" s="57"/>
      <c r="M696" s="57"/>
    </row>
    <row r="697">
      <c r="J697" s="57"/>
      <c r="L697" s="57"/>
      <c r="M697" s="57"/>
    </row>
    <row r="698">
      <c r="J698" s="57"/>
      <c r="L698" s="57"/>
      <c r="M698" s="57"/>
    </row>
    <row r="699">
      <c r="J699" s="57"/>
      <c r="L699" s="57"/>
      <c r="M699" s="57"/>
    </row>
    <row r="700">
      <c r="J700" s="57"/>
      <c r="L700" s="57"/>
      <c r="M700" s="57"/>
    </row>
    <row r="701">
      <c r="J701" s="57"/>
      <c r="L701" s="57"/>
      <c r="M701" s="57"/>
    </row>
    <row r="702">
      <c r="J702" s="57"/>
      <c r="L702" s="57"/>
      <c r="M702" s="57"/>
    </row>
    <row r="703">
      <c r="J703" s="57"/>
      <c r="L703" s="57"/>
      <c r="M703" s="57"/>
    </row>
    <row r="704">
      <c r="J704" s="57"/>
      <c r="L704" s="57"/>
      <c r="M704" s="57"/>
    </row>
    <row r="705">
      <c r="J705" s="57"/>
      <c r="L705" s="57"/>
      <c r="M705" s="57"/>
    </row>
    <row r="706">
      <c r="J706" s="57"/>
      <c r="L706" s="57"/>
      <c r="M706" s="57"/>
    </row>
    <row r="707">
      <c r="J707" s="57"/>
      <c r="L707" s="57"/>
      <c r="M707" s="57"/>
    </row>
    <row r="708">
      <c r="J708" s="57"/>
      <c r="L708" s="57"/>
      <c r="M708" s="57"/>
    </row>
    <row r="709">
      <c r="J709" s="57"/>
      <c r="L709" s="57"/>
      <c r="M709" s="57"/>
    </row>
    <row r="710">
      <c r="J710" s="57"/>
      <c r="L710" s="57"/>
      <c r="M710" s="57"/>
    </row>
    <row r="711">
      <c r="J711" s="57"/>
      <c r="L711" s="57"/>
      <c r="M711" s="57"/>
    </row>
    <row r="712">
      <c r="J712" s="57"/>
      <c r="L712" s="57"/>
      <c r="M712" s="57"/>
    </row>
    <row r="713">
      <c r="J713" s="57"/>
      <c r="L713" s="57"/>
      <c r="M713" s="57"/>
    </row>
    <row r="714">
      <c r="J714" s="57"/>
      <c r="L714" s="57"/>
      <c r="M714" s="57"/>
    </row>
    <row r="715">
      <c r="J715" s="57"/>
      <c r="L715" s="57"/>
      <c r="M715" s="57"/>
    </row>
    <row r="716">
      <c r="J716" s="57"/>
      <c r="L716" s="57"/>
      <c r="M716" s="57"/>
    </row>
    <row r="717">
      <c r="J717" s="57"/>
      <c r="L717" s="57"/>
      <c r="M717" s="57"/>
    </row>
    <row r="718">
      <c r="J718" s="57"/>
      <c r="L718" s="57"/>
      <c r="M718" s="57"/>
    </row>
    <row r="719">
      <c r="J719" s="57"/>
      <c r="L719" s="57"/>
      <c r="M719" s="57"/>
    </row>
    <row r="720">
      <c r="J720" s="57"/>
      <c r="L720" s="57"/>
      <c r="M720" s="57"/>
    </row>
    <row r="721">
      <c r="J721" s="57"/>
      <c r="L721" s="57"/>
      <c r="M721" s="57"/>
    </row>
    <row r="722">
      <c r="J722" s="57"/>
      <c r="L722" s="57"/>
      <c r="M722" s="57"/>
    </row>
    <row r="723">
      <c r="J723" s="57"/>
      <c r="L723" s="57"/>
      <c r="M723" s="57"/>
    </row>
    <row r="724">
      <c r="J724" s="57"/>
      <c r="L724" s="57"/>
      <c r="M724" s="57"/>
    </row>
    <row r="725">
      <c r="J725" s="57"/>
      <c r="L725" s="57"/>
      <c r="M725" s="57"/>
    </row>
    <row r="726">
      <c r="J726" s="57"/>
      <c r="L726" s="57"/>
      <c r="M726" s="57"/>
    </row>
    <row r="727">
      <c r="J727" s="57"/>
      <c r="L727" s="57"/>
      <c r="M727" s="57"/>
    </row>
    <row r="728">
      <c r="J728" s="57"/>
      <c r="L728" s="57"/>
      <c r="M728" s="57"/>
    </row>
    <row r="729">
      <c r="J729" s="57"/>
      <c r="L729" s="57"/>
      <c r="M729" s="57"/>
    </row>
    <row r="730">
      <c r="J730" s="57"/>
      <c r="L730" s="57"/>
      <c r="M730" s="57"/>
    </row>
    <row r="731">
      <c r="J731" s="57"/>
      <c r="L731" s="57"/>
      <c r="M731" s="57"/>
    </row>
    <row r="732">
      <c r="J732" s="57"/>
      <c r="L732" s="57"/>
      <c r="M732" s="57"/>
    </row>
    <row r="733">
      <c r="J733" s="57"/>
      <c r="L733" s="57"/>
      <c r="M733" s="57"/>
    </row>
    <row r="734">
      <c r="J734" s="57"/>
      <c r="L734" s="57"/>
      <c r="M734" s="57"/>
    </row>
    <row r="735">
      <c r="J735" s="57"/>
      <c r="L735" s="57"/>
      <c r="M735" s="57"/>
    </row>
    <row r="736">
      <c r="J736" s="57"/>
      <c r="L736" s="57"/>
      <c r="M736" s="57"/>
    </row>
    <row r="737">
      <c r="J737" s="57"/>
      <c r="L737" s="57"/>
      <c r="M737" s="57"/>
    </row>
    <row r="738">
      <c r="J738" s="57"/>
      <c r="L738" s="57"/>
      <c r="M738" s="57"/>
    </row>
    <row r="739">
      <c r="J739" s="57"/>
      <c r="L739" s="57"/>
      <c r="M739" s="57"/>
    </row>
    <row r="740">
      <c r="J740" s="57"/>
      <c r="L740" s="57"/>
      <c r="M740" s="57"/>
    </row>
    <row r="741">
      <c r="J741" s="57"/>
      <c r="L741" s="57"/>
      <c r="M741" s="57"/>
    </row>
    <row r="742">
      <c r="J742" s="57"/>
      <c r="L742" s="57"/>
      <c r="M742" s="57"/>
    </row>
    <row r="743">
      <c r="J743" s="57"/>
      <c r="L743" s="57"/>
      <c r="M743" s="57"/>
    </row>
    <row r="744">
      <c r="J744" s="57"/>
      <c r="L744" s="57"/>
      <c r="M744" s="57"/>
    </row>
    <row r="745">
      <c r="J745" s="57"/>
      <c r="L745" s="57"/>
      <c r="M745" s="57"/>
    </row>
    <row r="746">
      <c r="J746" s="57"/>
      <c r="L746" s="57"/>
      <c r="M746" s="57"/>
    </row>
    <row r="747">
      <c r="J747" s="57"/>
      <c r="L747" s="57"/>
      <c r="M747" s="57"/>
    </row>
    <row r="748">
      <c r="J748" s="57"/>
      <c r="L748" s="57"/>
      <c r="M748" s="57"/>
    </row>
    <row r="749">
      <c r="J749" s="57"/>
      <c r="L749" s="57"/>
      <c r="M749" s="57"/>
    </row>
    <row r="750">
      <c r="J750" s="57"/>
      <c r="L750" s="57"/>
      <c r="M750" s="57"/>
    </row>
    <row r="751">
      <c r="J751" s="57"/>
      <c r="L751" s="57"/>
      <c r="M751" s="57"/>
    </row>
    <row r="752">
      <c r="J752" s="57"/>
      <c r="L752" s="57"/>
      <c r="M752" s="57"/>
    </row>
    <row r="753">
      <c r="J753" s="57"/>
      <c r="L753" s="57"/>
      <c r="M753" s="57"/>
    </row>
    <row r="754">
      <c r="J754" s="57"/>
      <c r="L754" s="57"/>
      <c r="M754" s="57"/>
    </row>
    <row r="755">
      <c r="J755" s="57"/>
      <c r="L755" s="57"/>
      <c r="M755" s="57"/>
    </row>
    <row r="756">
      <c r="J756" s="57"/>
      <c r="L756" s="57"/>
      <c r="M756" s="57"/>
    </row>
    <row r="757">
      <c r="J757" s="57"/>
      <c r="L757" s="57"/>
      <c r="M757" s="57"/>
    </row>
    <row r="758">
      <c r="J758" s="57"/>
      <c r="L758" s="57"/>
      <c r="M758" s="57"/>
    </row>
    <row r="759">
      <c r="J759" s="57"/>
      <c r="L759" s="57"/>
      <c r="M759" s="57"/>
    </row>
    <row r="760">
      <c r="J760" s="57"/>
      <c r="L760" s="57"/>
      <c r="M760" s="57"/>
    </row>
    <row r="761">
      <c r="J761" s="57"/>
      <c r="L761" s="57"/>
      <c r="M761" s="57"/>
    </row>
    <row r="762">
      <c r="J762" s="57"/>
      <c r="L762" s="57"/>
      <c r="M762" s="57"/>
    </row>
    <row r="763">
      <c r="J763" s="57"/>
      <c r="L763" s="57"/>
      <c r="M763" s="57"/>
    </row>
    <row r="764">
      <c r="J764" s="57"/>
      <c r="L764" s="57"/>
      <c r="M764" s="57"/>
    </row>
    <row r="765">
      <c r="J765" s="57"/>
      <c r="L765" s="57"/>
      <c r="M765" s="57"/>
    </row>
    <row r="766">
      <c r="J766" s="57"/>
      <c r="L766" s="57"/>
      <c r="M766" s="57"/>
    </row>
    <row r="767">
      <c r="J767" s="57"/>
      <c r="L767" s="57"/>
      <c r="M767" s="57"/>
    </row>
    <row r="768">
      <c r="J768" s="57"/>
      <c r="L768" s="57"/>
      <c r="M768" s="57"/>
    </row>
    <row r="769">
      <c r="J769" s="57"/>
      <c r="L769" s="57"/>
      <c r="M769" s="57"/>
    </row>
    <row r="770">
      <c r="J770" s="57"/>
      <c r="L770" s="57"/>
      <c r="M770" s="57"/>
    </row>
    <row r="771">
      <c r="J771" s="57"/>
      <c r="L771" s="57"/>
      <c r="M771" s="57"/>
    </row>
    <row r="772">
      <c r="J772" s="57"/>
      <c r="L772" s="57"/>
      <c r="M772" s="57"/>
    </row>
    <row r="773">
      <c r="J773" s="57"/>
      <c r="L773" s="57"/>
      <c r="M773" s="57"/>
    </row>
    <row r="774">
      <c r="J774" s="57"/>
      <c r="L774" s="57"/>
      <c r="M774" s="57"/>
    </row>
    <row r="775">
      <c r="J775" s="57"/>
      <c r="L775" s="57"/>
      <c r="M775" s="57"/>
    </row>
    <row r="776">
      <c r="J776" s="57"/>
      <c r="L776" s="57"/>
      <c r="M776" s="57"/>
    </row>
    <row r="777">
      <c r="J777" s="57"/>
      <c r="L777" s="57"/>
      <c r="M777" s="57"/>
    </row>
    <row r="778">
      <c r="J778" s="57"/>
      <c r="L778" s="57"/>
      <c r="M778" s="57"/>
    </row>
    <row r="779">
      <c r="J779" s="57"/>
      <c r="L779" s="57"/>
      <c r="M779" s="57"/>
    </row>
    <row r="780">
      <c r="J780" s="57"/>
      <c r="L780" s="57"/>
      <c r="M780" s="57"/>
    </row>
    <row r="781">
      <c r="J781" s="57"/>
      <c r="L781" s="57"/>
      <c r="M781" s="57"/>
    </row>
    <row r="782">
      <c r="J782" s="57"/>
      <c r="L782" s="57"/>
      <c r="M782" s="57"/>
    </row>
    <row r="783">
      <c r="J783" s="57"/>
      <c r="L783" s="57"/>
      <c r="M783" s="57"/>
    </row>
    <row r="784">
      <c r="J784" s="57"/>
      <c r="L784" s="57"/>
      <c r="M784" s="57"/>
    </row>
    <row r="785">
      <c r="J785" s="57"/>
      <c r="L785" s="57"/>
      <c r="M785" s="57"/>
    </row>
    <row r="786">
      <c r="J786" s="57"/>
      <c r="L786" s="57"/>
      <c r="M786" s="57"/>
    </row>
    <row r="787">
      <c r="J787" s="57"/>
      <c r="L787" s="57"/>
      <c r="M787" s="57"/>
    </row>
    <row r="788">
      <c r="J788" s="57"/>
      <c r="L788" s="57"/>
      <c r="M788" s="57"/>
    </row>
    <row r="789">
      <c r="J789" s="57"/>
      <c r="L789" s="57"/>
      <c r="M789" s="57"/>
    </row>
    <row r="790">
      <c r="J790" s="57"/>
      <c r="L790" s="57"/>
      <c r="M790" s="57"/>
    </row>
    <row r="791">
      <c r="J791" s="57"/>
      <c r="L791" s="57"/>
      <c r="M791" s="57"/>
    </row>
    <row r="792">
      <c r="J792" s="57"/>
      <c r="L792" s="57"/>
      <c r="M792" s="57"/>
    </row>
    <row r="793">
      <c r="J793" s="57"/>
      <c r="L793" s="57"/>
      <c r="M793" s="57"/>
    </row>
    <row r="794">
      <c r="J794" s="57"/>
      <c r="L794" s="57"/>
      <c r="M794" s="57"/>
    </row>
    <row r="795">
      <c r="J795" s="57"/>
      <c r="L795" s="57"/>
      <c r="M795" s="57"/>
    </row>
    <row r="796">
      <c r="J796" s="57"/>
      <c r="L796" s="57"/>
      <c r="M796" s="57"/>
    </row>
    <row r="797">
      <c r="J797" s="57"/>
      <c r="L797" s="57"/>
      <c r="M797" s="57"/>
    </row>
    <row r="798">
      <c r="J798" s="57"/>
      <c r="L798" s="57"/>
      <c r="M798" s="57"/>
    </row>
    <row r="799">
      <c r="J799" s="57"/>
      <c r="L799" s="57"/>
      <c r="M799" s="57"/>
    </row>
    <row r="800">
      <c r="J800" s="57"/>
      <c r="L800" s="57"/>
      <c r="M800" s="57"/>
    </row>
    <row r="801">
      <c r="J801" s="57"/>
      <c r="L801" s="57"/>
      <c r="M801" s="57"/>
    </row>
    <row r="802">
      <c r="J802" s="57"/>
      <c r="L802" s="57"/>
      <c r="M802" s="57"/>
    </row>
    <row r="803">
      <c r="J803" s="57"/>
      <c r="L803" s="57"/>
      <c r="M803" s="57"/>
    </row>
    <row r="804">
      <c r="J804" s="57"/>
      <c r="L804" s="57"/>
      <c r="M804" s="57"/>
    </row>
    <row r="805">
      <c r="J805" s="57"/>
      <c r="L805" s="57"/>
      <c r="M805" s="57"/>
    </row>
    <row r="806">
      <c r="J806" s="57"/>
      <c r="L806" s="57"/>
      <c r="M806" s="57"/>
    </row>
    <row r="807">
      <c r="J807" s="57"/>
      <c r="L807" s="57"/>
      <c r="M807" s="57"/>
    </row>
    <row r="808">
      <c r="J808" s="57"/>
      <c r="L808" s="57"/>
      <c r="M808" s="57"/>
    </row>
    <row r="809">
      <c r="J809" s="57"/>
      <c r="L809" s="57"/>
      <c r="M809" s="57"/>
    </row>
    <row r="810">
      <c r="J810" s="57"/>
      <c r="L810" s="57"/>
      <c r="M810" s="57"/>
    </row>
    <row r="811">
      <c r="J811" s="57"/>
      <c r="L811" s="57"/>
      <c r="M811" s="57"/>
    </row>
    <row r="812">
      <c r="J812" s="57"/>
      <c r="L812" s="57"/>
      <c r="M812" s="57"/>
    </row>
    <row r="813">
      <c r="J813" s="57"/>
      <c r="L813" s="57"/>
      <c r="M813" s="57"/>
    </row>
    <row r="814">
      <c r="J814" s="57"/>
      <c r="L814" s="57"/>
      <c r="M814" s="57"/>
    </row>
    <row r="815">
      <c r="J815" s="57"/>
      <c r="L815" s="57"/>
      <c r="M815" s="57"/>
    </row>
    <row r="816">
      <c r="J816" s="57"/>
      <c r="L816" s="57"/>
      <c r="M816" s="57"/>
    </row>
    <row r="817">
      <c r="J817" s="57"/>
      <c r="L817" s="57"/>
      <c r="M817" s="57"/>
    </row>
    <row r="818">
      <c r="J818" s="57"/>
      <c r="L818" s="57"/>
      <c r="M818" s="57"/>
    </row>
    <row r="819">
      <c r="J819" s="57"/>
      <c r="L819" s="57"/>
      <c r="M819" s="57"/>
    </row>
    <row r="820">
      <c r="J820" s="57"/>
      <c r="L820" s="57"/>
      <c r="M820" s="57"/>
    </row>
    <row r="821">
      <c r="J821" s="57"/>
      <c r="L821" s="57"/>
      <c r="M821" s="57"/>
    </row>
    <row r="822">
      <c r="J822" s="57"/>
      <c r="L822" s="57"/>
      <c r="M822" s="57"/>
    </row>
    <row r="823">
      <c r="J823" s="57"/>
      <c r="L823" s="57"/>
      <c r="M823" s="57"/>
    </row>
    <row r="824">
      <c r="J824" s="57"/>
      <c r="L824" s="57"/>
      <c r="M824" s="57"/>
    </row>
    <row r="825">
      <c r="J825" s="57"/>
      <c r="L825" s="57"/>
      <c r="M825" s="57"/>
    </row>
    <row r="826">
      <c r="J826" s="57"/>
      <c r="L826" s="57"/>
      <c r="M826" s="57"/>
    </row>
    <row r="827">
      <c r="J827" s="57"/>
      <c r="L827" s="57"/>
      <c r="M827" s="57"/>
    </row>
    <row r="828">
      <c r="J828" s="57"/>
      <c r="L828" s="57"/>
      <c r="M828" s="57"/>
    </row>
    <row r="829">
      <c r="J829" s="57"/>
      <c r="L829" s="57"/>
      <c r="M829" s="57"/>
    </row>
    <row r="830">
      <c r="J830" s="57"/>
      <c r="L830" s="57"/>
      <c r="M830" s="57"/>
    </row>
    <row r="831">
      <c r="J831" s="57"/>
      <c r="L831" s="57"/>
      <c r="M831" s="57"/>
    </row>
    <row r="832">
      <c r="J832" s="57"/>
      <c r="L832" s="57"/>
      <c r="M832" s="57"/>
    </row>
    <row r="833">
      <c r="J833" s="57"/>
      <c r="L833" s="57"/>
      <c r="M833" s="57"/>
    </row>
    <row r="834">
      <c r="J834" s="57"/>
      <c r="L834" s="57"/>
      <c r="M834" s="57"/>
    </row>
    <row r="835">
      <c r="J835" s="57"/>
      <c r="L835" s="57"/>
      <c r="M835" s="57"/>
    </row>
    <row r="836">
      <c r="J836" s="57"/>
      <c r="L836" s="57"/>
      <c r="M836" s="57"/>
    </row>
    <row r="837">
      <c r="J837" s="57"/>
      <c r="L837" s="57"/>
      <c r="M837" s="57"/>
    </row>
    <row r="838">
      <c r="J838" s="57"/>
      <c r="L838" s="57"/>
      <c r="M838" s="57"/>
    </row>
    <row r="839">
      <c r="J839" s="57"/>
      <c r="L839" s="57"/>
      <c r="M839" s="57"/>
    </row>
    <row r="840">
      <c r="J840" s="57"/>
      <c r="L840" s="57"/>
      <c r="M840" s="57"/>
    </row>
    <row r="841">
      <c r="J841" s="57"/>
      <c r="L841" s="57"/>
      <c r="M841" s="57"/>
    </row>
    <row r="842">
      <c r="J842" s="57"/>
      <c r="L842" s="57"/>
      <c r="M842" s="57"/>
    </row>
    <row r="843">
      <c r="J843" s="57"/>
      <c r="L843" s="57"/>
      <c r="M843" s="57"/>
    </row>
    <row r="844">
      <c r="J844" s="57"/>
      <c r="L844" s="57"/>
      <c r="M844" s="57"/>
    </row>
    <row r="845">
      <c r="J845" s="57"/>
      <c r="L845" s="57"/>
      <c r="M845" s="57"/>
    </row>
    <row r="846">
      <c r="J846" s="57"/>
      <c r="L846" s="57"/>
      <c r="M846" s="57"/>
    </row>
    <row r="847">
      <c r="J847" s="57"/>
      <c r="L847" s="57"/>
      <c r="M847" s="57"/>
    </row>
    <row r="848">
      <c r="J848" s="57"/>
      <c r="L848" s="57"/>
      <c r="M848" s="57"/>
    </row>
    <row r="849">
      <c r="J849" s="57"/>
      <c r="L849" s="57"/>
      <c r="M849" s="57"/>
    </row>
    <row r="850">
      <c r="J850" s="57"/>
      <c r="L850" s="57"/>
      <c r="M850" s="57"/>
    </row>
    <row r="851">
      <c r="J851" s="57"/>
      <c r="L851" s="57"/>
      <c r="M851" s="57"/>
    </row>
    <row r="852">
      <c r="J852" s="57"/>
      <c r="L852" s="57"/>
      <c r="M852" s="57"/>
    </row>
    <row r="853">
      <c r="J853" s="57"/>
      <c r="L853" s="57"/>
      <c r="M853" s="57"/>
    </row>
    <row r="854">
      <c r="J854" s="57"/>
      <c r="L854" s="57"/>
      <c r="M854" s="57"/>
    </row>
    <row r="855">
      <c r="J855" s="57"/>
      <c r="L855" s="57"/>
      <c r="M855" s="57"/>
    </row>
    <row r="856">
      <c r="J856" s="57"/>
      <c r="L856" s="57"/>
      <c r="M856" s="57"/>
    </row>
    <row r="857">
      <c r="J857" s="57"/>
      <c r="L857" s="57"/>
      <c r="M857" s="57"/>
    </row>
    <row r="858">
      <c r="J858" s="57"/>
      <c r="L858" s="57"/>
      <c r="M858" s="57"/>
    </row>
    <row r="859">
      <c r="J859" s="57"/>
      <c r="L859" s="57"/>
      <c r="M859" s="57"/>
    </row>
    <row r="860">
      <c r="J860" s="57"/>
      <c r="L860" s="57"/>
      <c r="M860" s="57"/>
    </row>
    <row r="861">
      <c r="J861" s="57"/>
      <c r="L861" s="57"/>
      <c r="M861" s="57"/>
    </row>
    <row r="862">
      <c r="J862" s="57"/>
      <c r="L862" s="57"/>
      <c r="M862" s="57"/>
    </row>
    <row r="863">
      <c r="J863" s="57"/>
      <c r="L863" s="57"/>
      <c r="M863" s="57"/>
    </row>
    <row r="864">
      <c r="J864" s="57"/>
      <c r="L864" s="57"/>
      <c r="M864" s="57"/>
    </row>
    <row r="865">
      <c r="J865" s="57"/>
      <c r="L865" s="57"/>
      <c r="M865" s="57"/>
    </row>
    <row r="866">
      <c r="J866" s="57"/>
      <c r="L866" s="57"/>
      <c r="M866" s="57"/>
    </row>
    <row r="867">
      <c r="J867" s="57"/>
      <c r="L867" s="57"/>
      <c r="M867" s="57"/>
    </row>
    <row r="868">
      <c r="J868" s="57"/>
      <c r="L868" s="57"/>
      <c r="M868" s="57"/>
    </row>
    <row r="869">
      <c r="J869" s="57"/>
      <c r="L869" s="57"/>
      <c r="M869" s="57"/>
    </row>
    <row r="870">
      <c r="J870" s="57"/>
      <c r="L870" s="57"/>
      <c r="M870" s="57"/>
    </row>
    <row r="871">
      <c r="J871" s="57"/>
      <c r="L871" s="57"/>
      <c r="M871" s="57"/>
    </row>
    <row r="872">
      <c r="J872" s="57"/>
      <c r="L872" s="57"/>
      <c r="M872" s="57"/>
    </row>
    <row r="873">
      <c r="J873" s="57"/>
      <c r="L873" s="57"/>
      <c r="M873" s="57"/>
    </row>
    <row r="874">
      <c r="J874" s="57"/>
      <c r="L874" s="57"/>
      <c r="M874" s="57"/>
    </row>
    <row r="875">
      <c r="J875" s="57"/>
      <c r="L875" s="57"/>
      <c r="M875" s="57"/>
    </row>
    <row r="876">
      <c r="J876" s="57"/>
      <c r="L876" s="57"/>
      <c r="M876" s="57"/>
    </row>
    <row r="877">
      <c r="J877" s="57"/>
      <c r="L877" s="57"/>
      <c r="M877" s="57"/>
    </row>
    <row r="878">
      <c r="J878" s="57"/>
      <c r="L878" s="57"/>
      <c r="M878" s="57"/>
    </row>
    <row r="879">
      <c r="J879" s="57"/>
      <c r="L879" s="57"/>
      <c r="M879" s="57"/>
    </row>
    <row r="880">
      <c r="J880" s="57"/>
      <c r="L880" s="57"/>
      <c r="M880" s="57"/>
    </row>
    <row r="881">
      <c r="J881" s="57"/>
      <c r="L881" s="57"/>
      <c r="M881" s="57"/>
    </row>
    <row r="882">
      <c r="J882" s="57"/>
      <c r="L882" s="57"/>
      <c r="M882" s="57"/>
    </row>
    <row r="883">
      <c r="J883" s="57"/>
      <c r="L883" s="57"/>
      <c r="M883" s="57"/>
    </row>
    <row r="884">
      <c r="J884" s="57"/>
      <c r="L884" s="57"/>
      <c r="M884" s="57"/>
    </row>
    <row r="885">
      <c r="J885" s="57"/>
      <c r="L885" s="57"/>
      <c r="M885" s="57"/>
    </row>
    <row r="886">
      <c r="J886" s="57"/>
      <c r="L886" s="57"/>
      <c r="M886" s="57"/>
    </row>
    <row r="887">
      <c r="J887" s="57"/>
      <c r="L887" s="57"/>
      <c r="M887" s="57"/>
    </row>
    <row r="888">
      <c r="J888" s="57"/>
      <c r="L888" s="57"/>
      <c r="M888" s="57"/>
    </row>
    <row r="889">
      <c r="J889" s="57"/>
      <c r="L889" s="57"/>
      <c r="M889" s="57"/>
    </row>
    <row r="890">
      <c r="J890" s="57"/>
      <c r="L890" s="57"/>
      <c r="M890" s="57"/>
    </row>
    <row r="891">
      <c r="J891" s="57"/>
      <c r="L891" s="57"/>
      <c r="M891" s="57"/>
    </row>
    <row r="892">
      <c r="J892" s="57"/>
      <c r="L892" s="57"/>
      <c r="M892" s="57"/>
    </row>
    <row r="893">
      <c r="J893" s="57"/>
      <c r="L893" s="57"/>
      <c r="M893" s="57"/>
    </row>
    <row r="894">
      <c r="J894" s="57"/>
      <c r="L894" s="57"/>
      <c r="M894" s="57"/>
    </row>
    <row r="895">
      <c r="J895" s="57"/>
      <c r="L895" s="57"/>
      <c r="M895" s="57"/>
    </row>
    <row r="896">
      <c r="J896" s="57"/>
      <c r="L896" s="57"/>
      <c r="M896" s="57"/>
    </row>
    <row r="897">
      <c r="J897" s="57"/>
      <c r="L897" s="57"/>
      <c r="M897" s="57"/>
    </row>
    <row r="898">
      <c r="J898" s="57"/>
      <c r="L898" s="57"/>
      <c r="M898" s="57"/>
    </row>
    <row r="899">
      <c r="J899" s="57"/>
      <c r="L899" s="57"/>
      <c r="M899" s="57"/>
    </row>
    <row r="900">
      <c r="J900" s="57"/>
      <c r="L900" s="57"/>
      <c r="M900" s="57"/>
    </row>
    <row r="901">
      <c r="J901" s="57"/>
      <c r="L901" s="57"/>
      <c r="M901" s="57"/>
    </row>
    <row r="902">
      <c r="J902" s="57"/>
      <c r="L902" s="57"/>
      <c r="M902" s="57"/>
    </row>
    <row r="903">
      <c r="J903" s="57"/>
      <c r="L903" s="57"/>
      <c r="M903" s="57"/>
    </row>
    <row r="904">
      <c r="J904" s="57"/>
      <c r="L904" s="57"/>
      <c r="M904" s="57"/>
    </row>
    <row r="905">
      <c r="J905" s="57"/>
      <c r="L905" s="57"/>
      <c r="M905" s="57"/>
    </row>
    <row r="906">
      <c r="J906" s="57"/>
      <c r="L906" s="57"/>
      <c r="M906" s="57"/>
    </row>
    <row r="907">
      <c r="J907" s="57"/>
      <c r="L907" s="57"/>
      <c r="M907" s="57"/>
    </row>
    <row r="908">
      <c r="J908" s="57"/>
      <c r="L908" s="57"/>
      <c r="M908" s="57"/>
    </row>
    <row r="909">
      <c r="J909" s="57"/>
      <c r="L909" s="57"/>
      <c r="M909" s="57"/>
    </row>
    <row r="910">
      <c r="J910" s="57"/>
      <c r="L910" s="57"/>
      <c r="M910" s="57"/>
    </row>
    <row r="911">
      <c r="J911" s="57"/>
      <c r="L911" s="57"/>
      <c r="M911" s="57"/>
    </row>
    <row r="912">
      <c r="J912" s="57"/>
      <c r="L912" s="57"/>
      <c r="M912" s="57"/>
    </row>
    <row r="913">
      <c r="J913" s="57"/>
      <c r="L913" s="57"/>
      <c r="M913" s="57"/>
    </row>
    <row r="914">
      <c r="J914" s="57"/>
      <c r="L914" s="57"/>
      <c r="M914" s="57"/>
    </row>
    <row r="915">
      <c r="J915" s="57"/>
      <c r="L915" s="57"/>
      <c r="M915" s="57"/>
    </row>
    <row r="916">
      <c r="J916" s="57"/>
      <c r="L916" s="57"/>
      <c r="M916" s="57"/>
    </row>
    <row r="917">
      <c r="J917" s="57"/>
      <c r="L917" s="57"/>
      <c r="M917" s="57"/>
    </row>
    <row r="918">
      <c r="J918" s="57"/>
      <c r="L918" s="57"/>
      <c r="M918" s="57"/>
    </row>
    <row r="919">
      <c r="J919" s="57"/>
      <c r="L919" s="57"/>
      <c r="M919" s="57"/>
    </row>
    <row r="920">
      <c r="J920" s="57"/>
      <c r="L920" s="57"/>
      <c r="M920" s="57"/>
    </row>
    <row r="921">
      <c r="J921" s="57"/>
      <c r="L921" s="57"/>
      <c r="M921" s="57"/>
    </row>
    <row r="922">
      <c r="J922" s="57"/>
      <c r="L922" s="57"/>
      <c r="M922" s="57"/>
    </row>
    <row r="923">
      <c r="J923" s="57"/>
      <c r="L923" s="57"/>
      <c r="M923" s="57"/>
    </row>
    <row r="924">
      <c r="J924" s="57"/>
      <c r="L924" s="57"/>
      <c r="M924" s="57"/>
    </row>
    <row r="925">
      <c r="J925" s="57"/>
      <c r="L925" s="57"/>
      <c r="M925" s="57"/>
    </row>
    <row r="926">
      <c r="J926" s="57"/>
      <c r="L926" s="57"/>
      <c r="M926" s="57"/>
    </row>
    <row r="927">
      <c r="J927" s="57"/>
      <c r="L927" s="57"/>
      <c r="M927" s="57"/>
    </row>
    <row r="928">
      <c r="J928" s="57"/>
      <c r="L928" s="57"/>
      <c r="M928" s="57"/>
    </row>
    <row r="929">
      <c r="J929" s="57"/>
      <c r="L929" s="57"/>
      <c r="M929" s="57"/>
    </row>
    <row r="930">
      <c r="J930" s="57"/>
      <c r="L930" s="57"/>
      <c r="M930" s="57"/>
    </row>
    <row r="931">
      <c r="J931" s="57"/>
      <c r="L931" s="57"/>
      <c r="M931" s="57"/>
    </row>
    <row r="932">
      <c r="J932" s="57"/>
      <c r="L932" s="57"/>
      <c r="M932" s="57"/>
    </row>
    <row r="933">
      <c r="J933" s="57"/>
      <c r="L933" s="57"/>
      <c r="M933" s="57"/>
    </row>
    <row r="934">
      <c r="J934" s="57"/>
      <c r="L934" s="57"/>
      <c r="M934" s="57"/>
    </row>
    <row r="935">
      <c r="J935" s="57"/>
      <c r="L935" s="57"/>
      <c r="M935" s="57"/>
    </row>
    <row r="936">
      <c r="J936" s="57"/>
      <c r="L936" s="57"/>
      <c r="M936" s="57"/>
    </row>
    <row r="937">
      <c r="J937" s="57"/>
      <c r="L937" s="57"/>
      <c r="M937" s="57"/>
    </row>
    <row r="938">
      <c r="J938" s="57"/>
      <c r="L938" s="57"/>
      <c r="M938" s="57"/>
    </row>
    <row r="939">
      <c r="J939" s="57"/>
      <c r="L939" s="57"/>
      <c r="M939" s="57"/>
    </row>
    <row r="940">
      <c r="J940" s="57"/>
      <c r="L940" s="57"/>
      <c r="M940" s="57"/>
    </row>
    <row r="941">
      <c r="J941" s="57"/>
      <c r="L941" s="57"/>
      <c r="M941" s="57"/>
    </row>
    <row r="942">
      <c r="J942" s="57"/>
      <c r="L942" s="57"/>
      <c r="M942" s="57"/>
    </row>
    <row r="943">
      <c r="J943" s="57"/>
      <c r="L943" s="57"/>
      <c r="M943" s="57"/>
    </row>
    <row r="944">
      <c r="J944" s="57"/>
      <c r="L944" s="57"/>
      <c r="M944" s="57"/>
    </row>
    <row r="945">
      <c r="J945" s="57"/>
      <c r="L945" s="57"/>
      <c r="M945" s="57"/>
    </row>
    <row r="946">
      <c r="J946" s="57"/>
      <c r="L946" s="57"/>
      <c r="M946" s="57"/>
    </row>
    <row r="947">
      <c r="J947" s="57"/>
      <c r="L947" s="57"/>
      <c r="M947" s="57"/>
    </row>
    <row r="948">
      <c r="J948" s="57"/>
      <c r="L948" s="57"/>
      <c r="M948" s="57"/>
    </row>
    <row r="949">
      <c r="J949" s="57"/>
      <c r="L949" s="57"/>
      <c r="M949" s="57"/>
    </row>
    <row r="950">
      <c r="J950" s="57"/>
      <c r="L950" s="57"/>
      <c r="M950" s="57"/>
    </row>
    <row r="951">
      <c r="J951" s="57"/>
      <c r="L951" s="57"/>
      <c r="M951" s="57"/>
    </row>
    <row r="952">
      <c r="J952" s="57"/>
      <c r="L952" s="57"/>
      <c r="M952" s="57"/>
    </row>
    <row r="953">
      <c r="J953" s="57"/>
      <c r="L953" s="57"/>
      <c r="M953" s="57"/>
    </row>
    <row r="954">
      <c r="J954" s="57"/>
      <c r="L954" s="57"/>
      <c r="M954" s="57"/>
    </row>
    <row r="955">
      <c r="J955" s="57"/>
      <c r="L955" s="57"/>
      <c r="M955" s="57"/>
    </row>
    <row r="956">
      <c r="J956" s="57"/>
      <c r="L956" s="57"/>
      <c r="M956" s="57"/>
    </row>
    <row r="957">
      <c r="J957" s="57"/>
      <c r="L957" s="57"/>
      <c r="M957" s="57"/>
    </row>
    <row r="958">
      <c r="J958" s="57"/>
      <c r="L958" s="57"/>
      <c r="M958" s="57"/>
    </row>
    <row r="959">
      <c r="J959" s="57"/>
      <c r="L959" s="57"/>
      <c r="M959" s="57"/>
    </row>
    <row r="960">
      <c r="J960" s="57"/>
      <c r="L960" s="57"/>
      <c r="M960" s="57"/>
    </row>
    <row r="961">
      <c r="J961" s="57"/>
      <c r="L961" s="57"/>
      <c r="M961" s="57"/>
    </row>
    <row r="962">
      <c r="J962" s="57"/>
      <c r="L962" s="57"/>
      <c r="M962" s="57"/>
    </row>
    <row r="963">
      <c r="J963" s="57"/>
      <c r="L963" s="57"/>
      <c r="M963" s="57"/>
    </row>
    <row r="964">
      <c r="J964" s="57"/>
      <c r="L964" s="57"/>
      <c r="M964" s="57"/>
    </row>
    <row r="965">
      <c r="J965" s="57"/>
      <c r="L965" s="57"/>
      <c r="M965" s="57"/>
    </row>
    <row r="966">
      <c r="J966" s="57"/>
      <c r="L966" s="57"/>
      <c r="M966" s="57"/>
    </row>
    <row r="967">
      <c r="J967" s="57"/>
      <c r="L967" s="57"/>
      <c r="M967" s="57"/>
    </row>
    <row r="968">
      <c r="J968" s="57"/>
      <c r="L968" s="57"/>
      <c r="M968" s="57"/>
    </row>
    <row r="969">
      <c r="J969" s="57"/>
      <c r="L969" s="57"/>
      <c r="M969" s="57"/>
    </row>
    <row r="970">
      <c r="J970" s="57"/>
      <c r="L970" s="57"/>
      <c r="M970" s="57"/>
    </row>
    <row r="971">
      <c r="J971" s="57"/>
      <c r="L971" s="57"/>
      <c r="M971" s="57"/>
    </row>
    <row r="972">
      <c r="J972" s="57"/>
      <c r="L972" s="57"/>
      <c r="M972" s="57"/>
    </row>
    <row r="973">
      <c r="J973" s="57"/>
      <c r="L973" s="57"/>
      <c r="M973" s="57"/>
    </row>
    <row r="974">
      <c r="J974" s="57"/>
      <c r="L974" s="57"/>
      <c r="M974" s="57"/>
    </row>
    <row r="975">
      <c r="J975" s="57"/>
      <c r="L975" s="57"/>
      <c r="M975" s="57"/>
    </row>
    <row r="976">
      <c r="J976" s="57"/>
      <c r="L976" s="57"/>
      <c r="M976" s="57"/>
    </row>
    <row r="977">
      <c r="J977" s="57"/>
      <c r="L977" s="57"/>
      <c r="M977" s="57"/>
    </row>
    <row r="978">
      <c r="J978" s="57"/>
      <c r="L978" s="57"/>
      <c r="M978" s="57"/>
    </row>
    <row r="979">
      <c r="J979" s="57"/>
      <c r="L979" s="57"/>
      <c r="M979" s="57"/>
    </row>
    <row r="980">
      <c r="J980" s="57"/>
      <c r="L980" s="57"/>
      <c r="M980" s="57"/>
    </row>
    <row r="981">
      <c r="J981" s="57"/>
      <c r="L981" s="57"/>
      <c r="M981" s="57"/>
    </row>
    <row r="982">
      <c r="J982" s="57"/>
      <c r="L982" s="57"/>
      <c r="M982" s="57"/>
    </row>
    <row r="983">
      <c r="J983" s="57"/>
      <c r="L983" s="57"/>
      <c r="M983" s="57"/>
    </row>
    <row r="984">
      <c r="J984" s="57"/>
      <c r="L984" s="57"/>
      <c r="M984" s="57"/>
    </row>
    <row r="985">
      <c r="J985" s="57"/>
      <c r="L985" s="57"/>
      <c r="M985" s="57"/>
    </row>
    <row r="986">
      <c r="J986" s="57"/>
      <c r="L986" s="57"/>
      <c r="M986" s="57"/>
    </row>
    <row r="987">
      <c r="J987" s="57"/>
      <c r="L987" s="57"/>
      <c r="M987" s="57"/>
    </row>
    <row r="988">
      <c r="J988" s="57"/>
      <c r="L988" s="57"/>
      <c r="M988" s="57"/>
    </row>
    <row r="989">
      <c r="J989" s="57"/>
      <c r="L989" s="57"/>
      <c r="M989" s="57"/>
    </row>
    <row r="990">
      <c r="J990" s="57"/>
      <c r="L990" s="57"/>
      <c r="M990" s="57"/>
    </row>
    <row r="991">
      <c r="J991" s="57"/>
      <c r="L991" s="57"/>
      <c r="M991" s="57"/>
    </row>
    <row r="992">
      <c r="J992" s="57"/>
      <c r="L992" s="57"/>
      <c r="M992" s="57"/>
    </row>
    <row r="993">
      <c r="J993" s="57"/>
      <c r="L993" s="57"/>
      <c r="M993" s="57"/>
    </row>
    <row r="994">
      <c r="J994" s="57"/>
      <c r="L994" s="57"/>
      <c r="M994" s="57"/>
    </row>
    <row r="995">
      <c r="J995" s="57"/>
      <c r="L995" s="57"/>
      <c r="M995" s="57"/>
    </row>
    <row r="996">
      <c r="J996" s="57"/>
      <c r="L996" s="57"/>
      <c r="M996" s="57"/>
    </row>
    <row r="997">
      <c r="J997" s="57"/>
      <c r="L997" s="57"/>
      <c r="M997" s="57"/>
    </row>
    <row r="998">
      <c r="J998" s="57"/>
      <c r="L998" s="57"/>
      <c r="M998" s="57"/>
    </row>
  </sheetData>
  <hyperlinks>
    <hyperlink r:id="rId1" ref="A2"/>
    <hyperlink r:id="rId2" ref="D4"/>
    <hyperlink r:id="rId3" ref="E4"/>
    <hyperlink r:id="rId4" ref="X4"/>
    <hyperlink r:id="rId5" ref="AB4"/>
    <hyperlink r:id="rId6" ref="AD4"/>
    <hyperlink r:id="rId7" ref="D5"/>
    <hyperlink r:id="rId8" ref="E5"/>
    <hyperlink r:id="rId9" ref="AB5"/>
    <hyperlink r:id="rId10" ref="D6"/>
    <hyperlink r:id="rId11" ref="E6"/>
    <hyperlink r:id="rId12" ref="E7"/>
    <hyperlink r:id="rId13" ref="AB7"/>
    <hyperlink r:id="rId14" ref="D8"/>
    <hyperlink r:id="rId15" ref="E8"/>
    <hyperlink r:id="rId16" ref="AB8"/>
    <hyperlink r:id="rId17" ref="D9"/>
    <hyperlink r:id="rId18" ref="E9"/>
    <hyperlink r:id="rId19" ref="AB9"/>
    <hyperlink r:id="rId20" ref="AD9"/>
    <hyperlink r:id="rId21" ref="E10"/>
    <hyperlink r:id="rId22" ref="AD10"/>
    <hyperlink r:id="rId23" ref="D11"/>
    <hyperlink r:id="rId24" ref="E11"/>
    <hyperlink r:id="rId25" ref="X11"/>
    <hyperlink r:id="rId26" ref="AB11"/>
    <hyperlink r:id="rId27" ref="D12"/>
    <hyperlink r:id="rId28" ref="E12"/>
    <hyperlink r:id="rId29" ref="X12"/>
    <hyperlink r:id="rId30" ref="AB12"/>
    <hyperlink r:id="rId31" ref="D13"/>
    <hyperlink r:id="rId32" ref="E13"/>
    <hyperlink r:id="rId33" ref="D14"/>
    <hyperlink r:id="rId34" ref="E14"/>
    <hyperlink r:id="rId35" ref="X14"/>
    <hyperlink r:id="rId36" ref="AD14"/>
    <hyperlink r:id="rId37" ref="D17"/>
    <hyperlink r:id="rId38" ref="E17"/>
    <hyperlink r:id="rId39" ref="X17"/>
    <hyperlink r:id="rId40" ref="D18"/>
    <hyperlink r:id="rId41" ref="E18"/>
    <hyperlink r:id="rId42" ref="AB18"/>
    <hyperlink r:id="rId43" ref="D19"/>
    <hyperlink r:id="rId44" ref="E19"/>
    <hyperlink r:id="rId45" ref="D20"/>
    <hyperlink r:id="rId46" ref="E20"/>
    <hyperlink r:id="rId47" ref="AB20"/>
    <hyperlink r:id="rId48" ref="D21"/>
    <hyperlink r:id="rId49" ref="E21"/>
    <hyperlink r:id="rId50" ref="X21"/>
    <hyperlink r:id="rId51" ref="AB21"/>
    <hyperlink r:id="rId52" ref="AD21"/>
    <hyperlink r:id="rId53" ref="X22"/>
    <hyperlink r:id="rId54" ref="X23"/>
    <hyperlink r:id="rId55" ref="X24"/>
    <hyperlink r:id="rId56" ref="X25"/>
  </hyperlinks>
  <drawing r:id="rId5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6.0"/>
    <col customWidth="1" min="20" max="20" width="18.75"/>
    <col customWidth="1" min="21" max="21" width="8.0"/>
    <col customWidth="1" min="22" max="22" width="8.25"/>
  </cols>
  <sheetData>
    <row r="1" ht="27.0" customHeight="1">
      <c r="A1" s="1" t="s">
        <v>0</v>
      </c>
      <c r="B1" s="2" t="s">
        <v>12</v>
      </c>
      <c r="C1" s="2" t="s">
        <v>13</v>
      </c>
      <c r="D1" s="1" t="s">
        <v>789</v>
      </c>
      <c r="E1" s="1" t="s">
        <v>23</v>
      </c>
      <c r="F1" s="1" t="s">
        <v>24</v>
      </c>
      <c r="G1" s="1" t="s">
        <v>25</v>
      </c>
      <c r="H1" s="1" t="s">
        <v>26</v>
      </c>
      <c r="I1" s="2" t="s">
        <v>27</v>
      </c>
      <c r="J1" s="68" t="s">
        <v>790</v>
      </c>
      <c r="K1" s="57"/>
      <c r="L1" s="65" t="s">
        <v>791</v>
      </c>
      <c r="M1" s="65" t="s">
        <v>792</v>
      </c>
      <c r="N1" s="65" t="s">
        <v>793</v>
      </c>
      <c r="O1" s="65" t="s">
        <v>794</v>
      </c>
      <c r="P1" s="65" t="s">
        <v>795</v>
      </c>
      <c r="S1" s="92" t="s">
        <v>796</v>
      </c>
      <c r="T1" s="92" t="s">
        <v>797</v>
      </c>
      <c r="U1" s="92" t="s">
        <v>794</v>
      </c>
      <c r="V1" s="93" t="s">
        <v>798</v>
      </c>
    </row>
    <row r="2" ht="42.75" customHeight="1">
      <c r="A2" s="30" t="s">
        <v>29</v>
      </c>
      <c r="B2" s="94">
        <v>166.572</v>
      </c>
      <c r="C2" s="8">
        <v>-15.129</v>
      </c>
      <c r="D2" s="8">
        <v>4.732</v>
      </c>
      <c r="E2" s="10" t="s">
        <v>46</v>
      </c>
      <c r="F2" s="11"/>
      <c r="G2" s="12" t="s">
        <v>47</v>
      </c>
      <c r="H2" s="11"/>
      <c r="I2" s="11" t="s">
        <v>48</v>
      </c>
      <c r="J2" s="68">
        <v>92.26</v>
      </c>
      <c r="K2" s="57"/>
      <c r="L2" s="65" t="s">
        <v>799</v>
      </c>
      <c r="M2" s="65" t="s">
        <v>799</v>
      </c>
      <c r="N2" s="65" t="s">
        <v>800</v>
      </c>
      <c r="O2" s="65" t="s">
        <v>801</v>
      </c>
      <c r="P2" s="65">
        <v>92.26</v>
      </c>
      <c r="Q2" s="95">
        <f t="shared" ref="Q2:Q65" si="1">IFERROR(VALUE(P2),"")</f>
        <v>92.26</v>
      </c>
      <c r="S2" s="96">
        <v>1.0</v>
      </c>
      <c r="T2" s="97" t="s">
        <v>802</v>
      </c>
      <c r="U2" s="96" t="s">
        <v>801</v>
      </c>
      <c r="V2" s="98">
        <f>COUNTIF(O2:O65, "Galaxy")</f>
        <v>13</v>
      </c>
    </row>
    <row r="3" ht="28.5" customHeight="1">
      <c r="A3" s="11" t="s">
        <v>49</v>
      </c>
      <c r="B3" s="11">
        <v>198.708</v>
      </c>
      <c r="C3" s="11">
        <v>5.029</v>
      </c>
      <c r="D3" s="13"/>
      <c r="E3" s="11" t="s">
        <v>67</v>
      </c>
      <c r="F3" s="13"/>
      <c r="G3" s="13"/>
      <c r="H3" s="13"/>
      <c r="I3" s="13"/>
      <c r="J3" s="57"/>
      <c r="K3" s="57"/>
      <c r="L3" s="65" t="s">
        <v>800</v>
      </c>
      <c r="M3" s="65" t="s">
        <v>800</v>
      </c>
      <c r="N3" s="65" t="s">
        <v>800</v>
      </c>
      <c r="O3" s="65" t="s">
        <v>803</v>
      </c>
      <c r="P3" s="65" t="s">
        <v>75</v>
      </c>
      <c r="Q3" s="95" t="str">
        <f t="shared" si="1"/>
        <v/>
      </c>
      <c r="S3" s="96">
        <v>2.0</v>
      </c>
      <c r="T3" s="97" t="s">
        <v>804</v>
      </c>
      <c r="U3" s="96" t="s">
        <v>805</v>
      </c>
      <c r="V3" s="98">
        <f>COUNTIF(O2:O65, "Quasar")</f>
        <v>2</v>
      </c>
    </row>
    <row r="4" ht="36.75" customHeight="1">
      <c r="A4" s="99" t="s">
        <v>51</v>
      </c>
      <c r="B4" s="17" t="s">
        <v>61</v>
      </c>
      <c r="C4" s="11" t="s">
        <v>62</v>
      </c>
      <c r="D4" s="16">
        <v>4.61</v>
      </c>
      <c r="E4" s="11" t="s">
        <v>67</v>
      </c>
      <c r="F4" s="11"/>
      <c r="G4" s="11"/>
      <c r="H4" s="11"/>
      <c r="I4" s="13"/>
      <c r="J4" s="57"/>
      <c r="K4" s="57"/>
      <c r="L4" s="65" t="s">
        <v>800</v>
      </c>
      <c r="M4" s="65" t="s">
        <v>800</v>
      </c>
      <c r="N4" s="65" t="s">
        <v>800</v>
      </c>
      <c r="O4" s="65" t="s">
        <v>803</v>
      </c>
      <c r="P4" s="65" t="s">
        <v>75</v>
      </c>
      <c r="Q4" s="95" t="str">
        <f t="shared" si="1"/>
        <v/>
      </c>
      <c r="S4" s="96">
        <v>3.0</v>
      </c>
      <c r="T4" s="97" t="s">
        <v>806</v>
      </c>
      <c r="U4" s="96" t="s">
        <v>807</v>
      </c>
      <c r="V4" s="98">
        <f>COUNTIF(O2:O65, "GRB-only")</f>
        <v>6</v>
      </c>
    </row>
    <row r="5" ht="40.5" customHeight="1">
      <c r="A5" s="100" t="s">
        <v>68</v>
      </c>
      <c r="B5" s="101">
        <v>173.278</v>
      </c>
      <c r="C5" s="101">
        <v>22.684</v>
      </c>
      <c r="D5" s="11" t="s">
        <v>77</v>
      </c>
      <c r="E5" s="11" t="s">
        <v>46</v>
      </c>
      <c r="F5" s="13"/>
      <c r="G5" s="12" t="s">
        <v>81</v>
      </c>
      <c r="H5" s="13"/>
      <c r="I5" s="11" t="s">
        <v>82</v>
      </c>
      <c r="J5" s="68">
        <v>82.74</v>
      </c>
      <c r="K5" s="57"/>
      <c r="L5" s="65" t="s">
        <v>799</v>
      </c>
      <c r="M5" s="65" t="s">
        <v>799</v>
      </c>
      <c r="N5" s="65" t="s">
        <v>800</v>
      </c>
      <c r="O5" s="65" t="s">
        <v>801</v>
      </c>
      <c r="P5" s="65">
        <v>82.74</v>
      </c>
      <c r="Q5" s="95">
        <f t="shared" si="1"/>
        <v>82.74</v>
      </c>
      <c r="S5" s="96">
        <v>4.0</v>
      </c>
      <c r="T5" s="97" t="s">
        <v>808</v>
      </c>
      <c r="U5" s="96" t="s">
        <v>809</v>
      </c>
      <c r="V5" s="98">
        <f>COUNTIF(O2:O65, "Other")</f>
        <v>7</v>
      </c>
      <c r="X5" s="65"/>
    </row>
    <row r="6" ht="22.5" customHeight="1">
      <c r="A6" s="102" t="s">
        <v>83</v>
      </c>
      <c r="B6" s="103">
        <v>59.476667</v>
      </c>
      <c r="C6" s="6">
        <v>-15.136611</v>
      </c>
      <c r="D6" s="25">
        <v>0.768</v>
      </c>
      <c r="E6" s="6" t="s">
        <v>96</v>
      </c>
      <c r="F6" s="31"/>
      <c r="G6" s="31"/>
      <c r="H6" s="31"/>
      <c r="I6" s="31"/>
      <c r="J6" s="57"/>
      <c r="K6" s="57"/>
      <c r="L6" s="65" t="s">
        <v>800</v>
      </c>
      <c r="M6" s="65" t="s">
        <v>800</v>
      </c>
      <c r="N6" s="65" t="s">
        <v>800</v>
      </c>
      <c r="O6" s="65" t="s">
        <v>803</v>
      </c>
      <c r="P6" s="65" t="s">
        <v>75</v>
      </c>
      <c r="Q6" s="95" t="str">
        <f t="shared" si="1"/>
        <v/>
      </c>
      <c r="S6" s="96">
        <v>5.0</v>
      </c>
      <c r="T6" s="97" t="s">
        <v>810</v>
      </c>
      <c r="U6" s="96" t="s">
        <v>803</v>
      </c>
      <c r="V6" s="98">
        <f>COUNTIF(O2:O65, "No VizieR")</f>
        <v>36</v>
      </c>
    </row>
    <row r="7">
      <c r="A7" s="11" t="s">
        <v>97</v>
      </c>
      <c r="B7" s="11">
        <v>224.2651</v>
      </c>
      <c r="C7" s="73">
        <v>20.9756</v>
      </c>
      <c r="D7" s="13"/>
      <c r="E7" s="11" t="s">
        <v>108</v>
      </c>
      <c r="F7" s="13"/>
      <c r="G7" s="13"/>
      <c r="H7" s="13"/>
      <c r="I7" s="13"/>
      <c r="J7" s="57"/>
      <c r="K7" s="57"/>
      <c r="L7" s="65" t="s">
        <v>800</v>
      </c>
      <c r="M7" s="65" t="s">
        <v>800</v>
      </c>
      <c r="N7" s="65" t="s">
        <v>800</v>
      </c>
      <c r="O7" s="65" t="s">
        <v>803</v>
      </c>
      <c r="P7" s="65" t="s">
        <v>75</v>
      </c>
      <c r="Q7" s="95" t="str">
        <f t="shared" si="1"/>
        <v/>
      </c>
    </row>
    <row r="8">
      <c r="A8" s="99" t="s">
        <v>98</v>
      </c>
      <c r="B8" s="101">
        <v>211.64367</v>
      </c>
      <c r="C8" s="101">
        <v>40.07953</v>
      </c>
      <c r="D8" s="33">
        <v>3.44</v>
      </c>
      <c r="E8" s="11" t="s">
        <v>108</v>
      </c>
      <c r="F8" s="13"/>
      <c r="G8" s="13"/>
      <c r="H8" s="13"/>
      <c r="I8" s="13"/>
      <c r="J8" s="57"/>
      <c r="K8" s="57"/>
      <c r="L8" s="65" t="s">
        <v>800</v>
      </c>
      <c r="M8" s="65" t="s">
        <v>800</v>
      </c>
      <c r="N8" s="65" t="s">
        <v>800</v>
      </c>
      <c r="O8" s="65" t="s">
        <v>803</v>
      </c>
      <c r="P8" s="65" t="s">
        <v>75</v>
      </c>
      <c r="Q8" s="95" t="str">
        <f t="shared" si="1"/>
        <v/>
      </c>
    </row>
    <row r="9">
      <c r="A9" s="104" t="s">
        <v>109</v>
      </c>
      <c r="B9" s="73">
        <v>295.1</v>
      </c>
      <c r="C9" s="73">
        <v>21.055</v>
      </c>
      <c r="D9" s="11" t="s">
        <v>75</v>
      </c>
      <c r="E9" s="11" t="s">
        <v>108</v>
      </c>
      <c r="F9" s="13"/>
      <c r="G9" s="13"/>
      <c r="H9" s="13"/>
      <c r="I9" s="11" t="s">
        <v>121</v>
      </c>
      <c r="J9" s="57"/>
      <c r="K9" s="57"/>
      <c r="L9" s="65" t="s">
        <v>800</v>
      </c>
      <c r="M9" s="65" t="s">
        <v>800</v>
      </c>
      <c r="N9" s="65" t="s">
        <v>800</v>
      </c>
      <c r="O9" s="65" t="s">
        <v>809</v>
      </c>
      <c r="P9" s="65" t="s">
        <v>75</v>
      </c>
      <c r="Q9" s="95" t="str">
        <f t="shared" si="1"/>
        <v/>
      </c>
    </row>
    <row r="10">
      <c r="A10" s="104" t="s">
        <v>122</v>
      </c>
      <c r="B10" s="101">
        <v>106.76025</v>
      </c>
      <c r="C10" s="101">
        <v>7.19285</v>
      </c>
      <c r="D10" s="37" t="s">
        <v>130</v>
      </c>
      <c r="E10" s="11" t="s">
        <v>108</v>
      </c>
      <c r="F10" s="13"/>
      <c r="G10" s="13"/>
      <c r="H10" s="13"/>
      <c r="I10" s="11" t="s">
        <v>133</v>
      </c>
      <c r="J10" s="57"/>
      <c r="K10" s="57"/>
      <c r="L10" s="65" t="s">
        <v>800</v>
      </c>
      <c r="M10" s="65" t="s">
        <v>800</v>
      </c>
      <c r="N10" s="65" t="s">
        <v>800</v>
      </c>
      <c r="O10" s="65" t="s">
        <v>809</v>
      </c>
      <c r="P10" s="65" t="s">
        <v>75</v>
      </c>
      <c r="Q10" s="95" t="str">
        <f t="shared" si="1"/>
        <v/>
      </c>
    </row>
    <row r="11">
      <c r="A11" s="102" t="s">
        <v>134</v>
      </c>
      <c r="B11" s="105">
        <v>0.4910497685185185</v>
      </c>
      <c r="C11" s="106">
        <v>1.2433425925925927</v>
      </c>
      <c r="D11" s="25">
        <v>3.035</v>
      </c>
      <c r="E11" s="6" t="s">
        <v>108</v>
      </c>
      <c r="F11" s="31"/>
      <c r="G11" s="5" t="s">
        <v>145</v>
      </c>
      <c r="H11" s="31"/>
      <c r="I11" s="42" t="s">
        <v>811</v>
      </c>
      <c r="J11" s="68">
        <v>98.68</v>
      </c>
      <c r="K11" s="57"/>
      <c r="L11" s="65" t="s">
        <v>799</v>
      </c>
      <c r="M11" s="65" t="s">
        <v>800</v>
      </c>
      <c r="N11" s="65" t="s">
        <v>799</v>
      </c>
      <c r="O11" s="65" t="s">
        <v>805</v>
      </c>
      <c r="P11" s="65">
        <v>98.68</v>
      </c>
      <c r="Q11" s="95">
        <f t="shared" si="1"/>
        <v>98.68</v>
      </c>
    </row>
    <row r="12">
      <c r="A12" s="102" t="s">
        <v>147</v>
      </c>
      <c r="B12" s="107">
        <v>194.6157</v>
      </c>
      <c r="C12" s="103">
        <v>-24.3795</v>
      </c>
      <c r="D12" s="47">
        <v>1.847</v>
      </c>
      <c r="E12" s="6" t="s">
        <v>108</v>
      </c>
      <c r="F12" s="31"/>
      <c r="G12" s="31"/>
      <c r="H12" s="31"/>
      <c r="I12" s="31"/>
      <c r="J12" s="57"/>
      <c r="K12" s="57"/>
      <c r="L12" s="65" t="s">
        <v>800</v>
      </c>
      <c r="M12" s="65" t="s">
        <v>800</v>
      </c>
      <c r="N12" s="65" t="s">
        <v>800</v>
      </c>
      <c r="O12" s="65" t="s">
        <v>803</v>
      </c>
      <c r="P12" s="65" t="s">
        <v>75</v>
      </c>
      <c r="Q12" s="95" t="str">
        <f t="shared" si="1"/>
        <v/>
      </c>
    </row>
    <row r="13">
      <c r="A13" s="58" t="s">
        <v>157</v>
      </c>
      <c r="B13" s="103">
        <v>332.89686</v>
      </c>
      <c r="C13" s="103">
        <v>32.73247</v>
      </c>
      <c r="D13" s="25">
        <v>1.396</v>
      </c>
      <c r="E13" s="6" t="s">
        <v>108</v>
      </c>
      <c r="F13" s="31"/>
      <c r="G13" s="31"/>
      <c r="H13" s="31"/>
      <c r="I13" s="31"/>
      <c r="J13" s="57"/>
      <c r="K13" s="57"/>
      <c r="L13" s="65" t="s">
        <v>800</v>
      </c>
      <c r="M13" s="65" t="s">
        <v>800</v>
      </c>
      <c r="N13" s="65" t="s">
        <v>800</v>
      </c>
      <c r="O13" s="65" t="s">
        <v>803</v>
      </c>
      <c r="P13" s="65" t="s">
        <v>75</v>
      </c>
      <c r="Q13" s="95" t="str">
        <f t="shared" si="1"/>
        <v/>
      </c>
    </row>
    <row r="14">
      <c r="A14" s="108" t="s">
        <v>172</v>
      </c>
      <c r="B14" s="101">
        <v>217.528</v>
      </c>
      <c r="C14" s="73">
        <v>-35.025</v>
      </c>
      <c r="D14" s="33"/>
      <c r="E14" s="11" t="s">
        <v>108</v>
      </c>
      <c r="F14" s="13"/>
      <c r="G14" s="13"/>
      <c r="H14" s="13"/>
      <c r="I14" s="13"/>
      <c r="J14" s="57"/>
      <c r="K14" s="57"/>
      <c r="L14" s="65" t="s">
        <v>800</v>
      </c>
      <c r="M14" s="65" t="s">
        <v>800</v>
      </c>
      <c r="N14" s="65" t="s">
        <v>800</v>
      </c>
      <c r="O14" s="65" t="s">
        <v>803</v>
      </c>
      <c r="P14" s="65" t="s">
        <v>75</v>
      </c>
      <c r="Q14" s="95" t="str">
        <f t="shared" si="1"/>
        <v/>
      </c>
    </row>
    <row r="15">
      <c r="A15" s="104" t="s">
        <v>173</v>
      </c>
      <c r="B15" s="101">
        <v>38.55311</v>
      </c>
      <c r="C15" s="11">
        <v>-38.07894</v>
      </c>
      <c r="D15" s="11" t="s">
        <v>75</v>
      </c>
      <c r="E15" s="11" t="s">
        <v>183</v>
      </c>
      <c r="F15" s="13"/>
      <c r="G15" s="12" t="s">
        <v>184</v>
      </c>
      <c r="H15" s="13"/>
      <c r="I15" s="11" t="s">
        <v>185</v>
      </c>
      <c r="J15" s="68">
        <v>106.67</v>
      </c>
      <c r="K15" s="57"/>
      <c r="L15" s="65" t="s">
        <v>799</v>
      </c>
      <c r="M15" s="65" t="s">
        <v>799</v>
      </c>
      <c r="N15" s="65" t="s">
        <v>800</v>
      </c>
      <c r="O15" s="65" t="s">
        <v>801</v>
      </c>
      <c r="P15" s="65">
        <v>106.67</v>
      </c>
      <c r="Q15" s="95">
        <f t="shared" si="1"/>
        <v>106.67</v>
      </c>
    </row>
    <row r="16">
      <c r="A16" s="102" t="s">
        <v>186</v>
      </c>
      <c r="B16" s="103">
        <v>212.9361</v>
      </c>
      <c r="C16" s="103">
        <v>16.74863</v>
      </c>
      <c r="D16" s="25">
        <v>1.52</v>
      </c>
      <c r="E16" s="6" t="s">
        <v>67</v>
      </c>
      <c r="F16" s="31"/>
      <c r="G16" s="31"/>
      <c r="H16" s="31"/>
      <c r="I16" s="31"/>
      <c r="J16" s="57"/>
      <c r="K16" s="57"/>
      <c r="L16" s="65" t="s">
        <v>800</v>
      </c>
      <c r="M16" s="65" t="s">
        <v>800</v>
      </c>
      <c r="N16" s="65" t="s">
        <v>800</v>
      </c>
      <c r="O16" s="65" t="s">
        <v>809</v>
      </c>
      <c r="P16" s="65" t="s">
        <v>75</v>
      </c>
      <c r="Q16" s="95" t="str">
        <f t="shared" si="1"/>
        <v/>
      </c>
    </row>
    <row r="17">
      <c r="A17" s="34" t="s">
        <v>196</v>
      </c>
      <c r="B17" s="54">
        <v>0.047762615740740734</v>
      </c>
      <c r="C17" s="55">
        <v>-0.7218271990740741</v>
      </c>
      <c r="D17" s="53">
        <v>1.091</v>
      </c>
      <c r="E17" s="11" t="s">
        <v>46</v>
      </c>
      <c r="F17" s="13"/>
      <c r="G17" s="12" t="s">
        <v>207</v>
      </c>
      <c r="H17" s="13"/>
      <c r="I17" s="11" t="s">
        <v>208</v>
      </c>
      <c r="J17" s="68">
        <v>65.02</v>
      </c>
      <c r="K17" s="57"/>
      <c r="L17" s="65" t="s">
        <v>799</v>
      </c>
      <c r="M17" s="65" t="s">
        <v>799</v>
      </c>
      <c r="N17" s="65" t="s">
        <v>800</v>
      </c>
      <c r="O17" s="65" t="s">
        <v>801</v>
      </c>
      <c r="P17" s="65">
        <v>65.02</v>
      </c>
      <c r="Q17" s="95">
        <f t="shared" si="1"/>
        <v>65.02</v>
      </c>
    </row>
    <row r="18">
      <c r="A18" s="10" t="s">
        <v>209</v>
      </c>
      <c r="B18" s="11">
        <v>300.87238</v>
      </c>
      <c r="C18" s="11">
        <v>12.02301</v>
      </c>
      <c r="D18" s="57"/>
      <c r="E18" s="11" t="s">
        <v>67</v>
      </c>
      <c r="F18" s="13"/>
      <c r="G18" s="13"/>
      <c r="H18" s="13"/>
      <c r="I18" s="11" t="s">
        <v>812</v>
      </c>
      <c r="J18" s="57"/>
      <c r="K18" s="57"/>
      <c r="L18" s="65" t="s">
        <v>800</v>
      </c>
      <c r="M18" s="65" t="s">
        <v>800</v>
      </c>
      <c r="N18" s="65" t="s">
        <v>800</v>
      </c>
      <c r="O18" s="65" t="s">
        <v>809</v>
      </c>
      <c r="P18" s="65" t="s">
        <v>75</v>
      </c>
      <c r="Q18" s="95" t="str">
        <f t="shared" si="1"/>
        <v/>
      </c>
    </row>
    <row r="19">
      <c r="A19" s="10" t="s">
        <v>210</v>
      </c>
      <c r="B19" s="11">
        <v>41.2296</v>
      </c>
      <c r="C19" s="11">
        <v>-50.0604</v>
      </c>
      <c r="D19" s="13"/>
      <c r="E19" s="13"/>
      <c r="F19" s="13"/>
      <c r="G19" s="13"/>
      <c r="H19" s="13"/>
      <c r="I19" s="11" t="s">
        <v>813</v>
      </c>
      <c r="J19" s="68">
        <v>89.84</v>
      </c>
      <c r="K19" s="57"/>
      <c r="L19" s="65" t="s">
        <v>800</v>
      </c>
      <c r="M19" s="65" t="s">
        <v>800</v>
      </c>
      <c r="N19" s="65" t="s">
        <v>800</v>
      </c>
      <c r="O19" s="65" t="s">
        <v>809</v>
      </c>
      <c r="P19" s="65">
        <v>89.84</v>
      </c>
      <c r="Q19" s="95">
        <f t="shared" si="1"/>
        <v>89.84</v>
      </c>
    </row>
    <row r="20">
      <c r="A20" s="104" t="s">
        <v>211</v>
      </c>
      <c r="B20" s="101">
        <v>241.9978</v>
      </c>
      <c r="C20" s="11">
        <v>-11.9933</v>
      </c>
      <c r="D20" s="11" t="s">
        <v>75</v>
      </c>
      <c r="E20" s="11" t="s">
        <v>67</v>
      </c>
      <c r="F20" s="13"/>
      <c r="G20" s="13"/>
      <c r="H20" s="13"/>
      <c r="I20" s="13"/>
      <c r="J20" s="57"/>
      <c r="K20" s="57"/>
      <c r="L20" s="65" t="s">
        <v>800</v>
      </c>
      <c r="M20" s="65" t="s">
        <v>800</v>
      </c>
      <c r="N20" s="65" t="s">
        <v>800</v>
      </c>
      <c r="O20" s="65" t="s">
        <v>803</v>
      </c>
      <c r="P20" s="65" t="s">
        <v>75</v>
      </c>
      <c r="Q20" s="95" t="str">
        <f t="shared" si="1"/>
        <v/>
      </c>
    </row>
    <row r="21">
      <c r="A21" s="58" t="s">
        <v>218</v>
      </c>
      <c r="B21" s="107">
        <v>336.7505</v>
      </c>
      <c r="C21" s="107">
        <v>12.4613</v>
      </c>
      <c r="D21" s="25">
        <v>1.752</v>
      </c>
      <c r="E21" s="6" t="s">
        <v>67</v>
      </c>
      <c r="F21" s="31"/>
      <c r="G21" s="31"/>
      <c r="H21" s="31"/>
      <c r="I21" s="31"/>
      <c r="J21" s="57"/>
      <c r="K21" s="57"/>
      <c r="L21" s="65" t="s">
        <v>800</v>
      </c>
      <c r="M21" s="65" t="s">
        <v>800</v>
      </c>
      <c r="N21" s="65" t="s">
        <v>800</v>
      </c>
      <c r="O21" s="65" t="s">
        <v>803</v>
      </c>
      <c r="P21" s="65" t="s">
        <v>75</v>
      </c>
      <c r="Q21" s="95" t="str">
        <f t="shared" si="1"/>
        <v/>
      </c>
    </row>
    <row r="22">
      <c r="A22" s="58" t="s">
        <v>228</v>
      </c>
      <c r="B22" s="109">
        <v>0.12793425925925928</v>
      </c>
      <c r="C22" s="110">
        <v>-0.13021782407407406</v>
      </c>
      <c r="D22" s="25">
        <v>1.216</v>
      </c>
      <c r="E22" s="6" t="s">
        <v>67</v>
      </c>
      <c r="F22" s="31"/>
      <c r="G22" s="31"/>
      <c r="H22" s="31"/>
      <c r="I22" s="31"/>
      <c r="J22" s="57"/>
      <c r="K22" s="57"/>
      <c r="L22" s="65" t="s">
        <v>800</v>
      </c>
      <c r="M22" s="65" t="s">
        <v>800</v>
      </c>
      <c r="N22" s="65" t="s">
        <v>800</v>
      </c>
      <c r="O22" s="65" t="s">
        <v>803</v>
      </c>
      <c r="P22" s="65" t="s">
        <v>75</v>
      </c>
      <c r="Q22" s="95" t="str">
        <f t="shared" si="1"/>
        <v/>
      </c>
    </row>
    <row r="23">
      <c r="A23" s="11" t="s">
        <v>239</v>
      </c>
      <c r="B23" s="68">
        <v>345.83562</v>
      </c>
      <c r="C23" s="68">
        <v>-0.21024</v>
      </c>
      <c r="D23" s="13"/>
      <c r="E23" s="13"/>
      <c r="F23" s="13"/>
      <c r="G23" s="111" t="s">
        <v>814</v>
      </c>
      <c r="H23" s="13"/>
      <c r="I23" s="11" t="s">
        <v>815</v>
      </c>
      <c r="J23" s="68" t="s">
        <v>816</v>
      </c>
      <c r="K23" s="57"/>
      <c r="L23" s="65" t="s">
        <v>799</v>
      </c>
      <c r="M23" s="65" t="s">
        <v>799</v>
      </c>
      <c r="N23" s="65" t="s">
        <v>799</v>
      </c>
      <c r="O23" s="65" t="s">
        <v>801</v>
      </c>
      <c r="P23" s="65">
        <v>66.86</v>
      </c>
      <c r="Q23" s="95">
        <f t="shared" si="1"/>
        <v>66.86</v>
      </c>
    </row>
    <row r="24">
      <c r="A24" s="11" t="s">
        <v>245</v>
      </c>
      <c r="B24" s="101">
        <v>149.000901</v>
      </c>
      <c r="C24" s="11">
        <v>69.68013</v>
      </c>
      <c r="D24" s="11" t="s">
        <v>253</v>
      </c>
      <c r="E24" s="11" t="s">
        <v>817</v>
      </c>
      <c r="F24" s="13"/>
      <c r="G24" s="11"/>
      <c r="H24" s="11"/>
      <c r="I24" s="34" t="s">
        <v>818</v>
      </c>
      <c r="J24" s="68" t="s">
        <v>819</v>
      </c>
      <c r="K24" s="57"/>
      <c r="L24" s="65" t="s">
        <v>799</v>
      </c>
      <c r="M24" s="65" t="s">
        <v>799</v>
      </c>
      <c r="N24" s="65" t="s">
        <v>800</v>
      </c>
      <c r="O24" s="65" t="s">
        <v>801</v>
      </c>
      <c r="P24" s="65">
        <v>18.44</v>
      </c>
      <c r="Q24" s="95">
        <f t="shared" si="1"/>
        <v>18.44</v>
      </c>
    </row>
    <row r="25">
      <c r="A25" s="11" t="s">
        <v>259</v>
      </c>
      <c r="B25" s="112">
        <v>352.59</v>
      </c>
      <c r="C25" s="11">
        <v>1.88</v>
      </c>
      <c r="D25" s="11" t="s">
        <v>75</v>
      </c>
      <c r="E25" s="11" t="s">
        <v>67</v>
      </c>
      <c r="F25" s="13"/>
      <c r="G25" s="13"/>
      <c r="H25" s="13"/>
      <c r="I25" s="13"/>
      <c r="J25" s="57"/>
      <c r="K25" s="57"/>
      <c r="L25" s="65" t="s">
        <v>800</v>
      </c>
      <c r="M25" s="65" t="s">
        <v>800</v>
      </c>
      <c r="N25" s="65" t="s">
        <v>800</v>
      </c>
      <c r="O25" s="65" t="s">
        <v>803</v>
      </c>
      <c r="P25" s="65" t="s">
        <v>75</v>
      </c>
      <c r="Q25" s="95" t="str">
        <f t="shared" si="1"/>
        <v/>
      </c>
    </row>
    <row r="26">
      <c r="A26" s="11" t="s">
        <v>269</v>
      </c>
      <c r="B26" s="11">
        <v>5.271</v>
      </c>
      <c r="C26" s="11">
        <v>-36.521</v>
      </c>
      <c r="D26" s="11" t="s">
        <v>42</v>
      </c>
      <c r="E26" s="11" t="s">
        <v>46</v>
      </c>
      <c r="F26" s="13"/>
      <c r="G26" s="12" t="s">
        <v>279</v>
      </c>
      <c r="H26" s="13"/>
      <c r="I26" s="11" t="s">
        <v>280</v>
      </c>
      <c r="J26" s="68">
        <v>100.09</v>
      </c>
      <c r="K26" s="57"/>
      <c r="L26" s="65" t="s">
        <v>799</v>
      </c>
      <c r="M26" s="65" t="s">
        <v>799</v>
      </c>
      <c r="N26" s="65" t="s">
        <v>800</v>
      </c>
      <c r="O26" s="65" t="s">
        <v>801</v>
      </c>
      <c r="P26" s="65">
        <v>100.09</v>
      </c>
      <c r="Q26" s="95">
        <f t="shared" si="1"/>
        <v>100.09</v>
      </c>
    </row>
    <row r="27">
      <c r="A27" s="11" t="s">
        <v>281</v>
      </c>
      <c r="B27" s="17">
        <v>237.54399</v>
      </c>
      <c r="C27" s="17">
        <v>-2.31789</v>
      </c>
      <c r="D27" s="11">
        <v>1.494</v>
      </c>
      <c r="E27" s="11" t="s">
        <v>67</v>
      </c>
      <c r="F27" s="13"/>
      <c r="G27" s="11"/>
      <c r="H27" s="11"/>
      <c r="I27" s="11"/>
      <c r="J27" s="57"/>
      <c r="K27" s="57"/>
      <c r="L27" s="65" t="s">
        <v>800</v>
      </c>
      <c r="M27" s="65" t="s">
        <v>800</v>
      </c>
      <c r="N27" s="65" t="s">
        <v>800</v>
      </c>
      <c r="O27" s="65" t="s">
        <v>803</v>
      </c>
      <c r="P27" s="65" t="s">
        <v>75</v>
      </c>
      <c r="Q27" s="95" t="str">
        <f t="shared" si="1"/>
        <v/>
      </c>
    </row>
    <row r="28">
      <c r="A28" s="11" t="s">
        <v>295</v>
      </c>
      <c r="B28" s="11">
        <v>213.176</v>
      </c>
      <c r="C28" s="11">
        <v>63.735</v>
      </c>
      <c r="D28" s="11" t="s">
        <v>75</v>
      </c>
      <c r="E28" s="11" t="s">
        <v>67</v>
      </c>
      <c r="F28" s="13"/>
      <c r="G28" s="13"/>
      <c r="H28" s="13"/>
      <c r="I28" s="13"/>
      <c r="J28" s="57"/>
      <c r="K28" s="57"/>
      <c r="L28" s="65" t="s">
        <v>800</v>
      </c>
      <c r="M28" s="65" t="s">
        <v>800</v>
      </c>
      <c r="N28" s="65" t="s">
        <v>800</v>
      </c>
      <c r="O28" s="65" t="s">
        <v>803</v>
      </c>
      <c r="P28" s="65" t="s">
        <v>75</v>
      </c>
      <c r="Q28" s="95" t="str">
        <f t="shared" si="1"/>
        <v/>
      </c>
    </row>
    <row r="29">
      <c r="A29" s="11" t="s">
        <v>304</v>
      </c>
      <c r="B29" s="11">
        <v>63.45995</v>
      </c>
      <c r="C29" s="11">
        <v>16.71561</v>
      </c>
      <c r="D29" s="11" t="s">
        <v>75</v>
      </c>
      <c r="E29" s="11" t="s">
        <v>67</v>
      </c>
      <c r="F29" s="13"/>
      <c r="G29" s="13"/>
      <c r="H29" s="13"/>
      <c r="I29" s="13"/>
      <c r="J29" s="57"/>
      <c r="K29" s="57"/>
      <c r="L29" s="65" t="s">
        <v>800</v>
      </c>
      <c r="M29" s="65" t="s">
        <v>800</v>
      </c>
      <c r="N29" s="65" t="s">
        <v>800</v>
      </c>
      <c r="O29" s="65" t="s">
        <v>803</v>
      </c>
      <c r="P29" s="65" t="s">
        <v>75</v>
      </c>
      <c r="Q29" s="95" t="str">
        <f t="shared" si="1"/>
        <v/>
      </c>
    </row>
    <row r="30">
      <c r="A30" s="11" t="s">
        <v>312</v>
      </c>
      <c r="B30" s="11">
        <v>345.8021</v>
      </c>
      <c r="C30" s="11">
        <v>35.5227</v>
      </c>
      <c r="D30" s="11" t="s">
        <v>75</v>
      </c>
      <c r="E30" s="11" t="s">
        <v>325</v>
      </c>
      <c r="F30" s="11" t="s">
        <v>326</v>
      </c>
      <c r="G30" s="12" t="s">
        <v>327</v>
      </c>
      <c r="H30" s="11" t="s">
        <v>328</v>
      </c>
      <c r="I30" s="11" t="s">
        <v>329</v>
      </c>
      <c r="J30" s="68">
        <v>21.45</v>
      </c>
      <c r="K30" s="57"/>
      <c r="L30" s="65" t="s">
        <v>799</v>
      </c>
      <c r="M30" s="65" t="s">
        <v>800</v>
      </c>
      <c r="N30" s="65" t="s">
        <v>800</v>
      </c>
      <c r="O30" s="65" t="s">
        <v>809</v>
      </c>
      <c r="P30" s="65">
        <v>21.45</v>
      </c>
      <c r="Q30" s="95">
        <f t="shared" si="1"/>
        <v>21.45</v>
      </c>
    </row>
    <row r="31">
      <c r="A31" s="11" t="s">
        <v>330</v>
      </c>
      <c r="B31" s="11">
        <v>124.625</v>
      </c>
      <c r="C31" s="11">
        <v>33.999</v>
      </c>
      <c r="D31" s="73">
        <v>1.234</v>
      </c>
      <c r="E31" s="11" t="s">
        <v>183</v>
      </c>
      <c r="F31" s="11" t="s">
        <v>344</v>
      </c>
      <c r="G31" s="34" t="s">
        <v>345</v>
      </c>
      <c r="H31" s="11" t="s">
        <v>346</v>
      </c>
      <c r="I31" s="11" t="s">
        <v>347</v>
      </c>
      <c r="J31" s="68">
        <v>77.98</v>
      </c>
      <c r="K31" s="57"/>
      <c r="L31" s="65" t="s">
        <v>799</v>
      </c>
      <c r="M31" s="65" t="s">
        <v>799</v>
      </c>
      <c r="N31" s="65" t="s">
        <v>800</v>
      </c>
      <c r="O31" s="65" t="s">
        <v>801</v>
      </c>
      <c r="P31" s="65">
        <v>77.98</v>
      </c>
      <c r="Q31" s="95">
        <f t="shared" si="1"/>
        <v>77.98</v>
      </c>
    </row>
    <row r="32">
      <c r="A32" s="11" t="s">
        <v>348</v>
      </c>
      <c r="B32" s="11">
        <v>351.3</v>
      </c>
      <c r="C32" s="11">
        <v>21.33</v>
      </c>
      <c r="D32" s="11" t="s">
        <v>75</v>
      </c>
      <c r="E32" s="11" t="s">
        <v>183</v>
      </c>
      <c r="F32" s="11" t="s">
        <v>355</v>
      </c>
      <c r="G32" s="12" t="s">
        <v>356</v>
      </c>
      <c r="H32" s="11" t="s">
        <v>357</v>
      </c>
      <c r="I32" s="11" t="s">
        <v>358</v>
      </c>
      <c r="J32" s="68">
        <v>95.3</v>
      </c>
      <c r="K32" s="57"/>
      <c r="L32" s="65" t="s">
        <v>799</v>
      </c>
      <c r="M32" s="65" t="s">
        <v>799</v>
      </c>
      <c r="N32" s="65" t="s">
        <v>800</v>
      </c>
      <c r="O32" s="65" t="s">
        <v>801</v>
      </c>
      <c r="P32" s="65">
        <v>95.3</v>
      </c>
      <c r="Q32" s="95">
        <f t="shared" si="1"/>
        <v>95.3</v>
      </c>
    </row>
    <row r="33">
      <c r="A33" s="74" t="s">
        <v>359</v>
      </c>
      <c r="B33" s="11">
        <v>20.424</v>
      </c>
      <c r="C33" s="11">
        <v>-43.534</v>
      </c>
      <c r="D33" s="73" t="s">
        <v>368</v>
      </c>
      <c r="E33" s="11" t="s">
        <v>67</v>
      </c>
      <c r="F33" s="13"/>
      <c r="G33" s="13"/>
      <c r="H33" s="13"/>
      <c r="I33" s="76" t="s">
        <v>375</v>
      </c>
      <c r="J33" s="57"/>
      <c r="K33" s="57"/>
      <c r="L33" s="65" t="s">
        <v>800</v>
      </c>
      <c r="M33" s="65" t="s">
        <v>800</v>
      </c>
      <c r="N33" s="65" t="s">
        <v>800</v>
      </c>
      <c r="O33" s="65" t="s">
        <v>803</v>
      </c>
      <c r="P33" s="65" t="s">
        <v>75</v>
      </c>
      <c r="Q33" s="95" t="str">
        <f t="shared" si="1"/>
        <v/>
      </c>
    </row>
    <row r="34">
      <c r="A34" s="11" t="s">
        <v>376</v>
      </c>
      <c r="B34" s="11">
        <v>62.41</v>
      </c>
      <c r="C34" s="11">
        <v>-7.896</v>
      </c>
      <c r="D34" s="11" t="s">
        <v>75</v>
      </c>
      <c r="E34" s="11" t="s">
        <v>67</v>
      </c>
      <c r="F34" s="13"/>
      <c r="G34" s="13"/>
      <c r="H34" s="13"/>
      <c r="I34" s="13"/>
      <c r="J34" s="57"/>
      <c r="K34" s="57"/>
      <c r="L34" s="65" t="s">
        <v>800</v>
      </c>
      <c r="M34" s="65" t="s">
        <v>800</v>
      </c>
      <c r="N34" s="65" t="s">
        <v>800</v>
      </c>
      <c r="O34" s="65" t="s">
        <v>803</v>
      </c>
      <c r="P34" s="65" t="s">
        <v>75</v>
      </c>
      <c r="Q34" s="95" t="str">
        <f t="shared" si="1"/>
        <v/>
      </c>
    </row>
    <row r="35">
      <c r="A35" s="11" t="s">
        <v>384</v>
      </c>
      <c r="B35" s="11">
        <v>304.782</v>
      </c>
      <c r="C35" s="11">
        <v>-40.806</v>
      </c>
      <c r="D35" s="13"/>
      <c r="E35" s="11" t="s">
        <v>67</v>
      </c>
      <c r="F35" s="13"/>
      <c r="G35" s="13"/>
      <c r="H35" s="13"/>
      <c r="I35" s="13"/>
      <c r="J35" s="57"/>
      <c r="K35" s="57"/>
      <c r="L35" s="65" t="s">
        <v>800</v>
      </c>
      <c r="M35" s="65" t="s">
        <v>800</v>
      </c>
      <c r="N35" s="65" t="s">
        <v>800</v>
      </c>
      <c r="O35" s="65" t="s">
        <v>803</v>
      </c>
      <c r="P35" s="65" t="s">
        <v>75</v>
      </c>
      <c r="Q35" s="95" t="str">
        <f t="shared" si="1"/>
        <v/>
      </c>
    </row>
    <row r="36">
      <c r="A36" s="11" t="s">
        <v>392</v>
      </c>
      <c r="B36" s="11">
        <v>325.00866</v>
      </c>
      <c r="C36" s="11">
        <v>-35.65944</v>
      </c>
      <c r="D36" s="11" t="s">
        <v>75</v>
      </c>
      <c r="E36" s="11" t="s">
        <v>67</v>
      </c>
      <c r="F36" s="13"/>
      <c r="G36" s="13"/>
      <c r="H36" s="13"/>
      <c r="I36" s="13"/>
      <c r="J36" s="57"/>
      <c r="K36" s="57"/>
      <c r="L36" s="65" t="s">
        <v>800</v>
      </c>
      <c r="M36" s="65" t="s">
        <v>800</v>
      </c>
      <c r="N36" s="65" t="s">
        <v>800</v>
      </c>
      <c r="O36" s="65" t="s">
        <v>803</v>
      </c>
      <c r="P36" s="65" t="s">
        <v>75</v>
      </c>
      <c r="Q36" s="95" t="str">
        <f t="shared" si="1"/>
        <v/>
      </c>
    </row>
    <row r="37">
      <c r="A37" s="11" t="s">
        <v>399</v>
      </c>
      <c r="B37" s="11">
        <v>67.9693</v>
      </c>
      <c r="C37" s="11">
        <v>42.997</v>
      </c>
      <c r="D37" s="13"/>
      <c r="E37" s="13"/>
      <c r="F37" s="13"/>
      <c r="G37" s="12" t="s">
        <v>413</v>
      </c>
      <c r="H37" s="13"/>
      <c r="I37" s="11" t="s">
        <v>414</v>
      </c>
      <c r="J37" s="68" t="s">
        <v>820</v>
      </c>
      <c r="K37" s="57"/>
      <c r="L37" s="65" t="s">
        <v>800</v>
      </c>
      <c r="M37" s="65" t="s">
        <v>800</v>
      </c>
      <c r="N37" s="65" t="s">
        <v>800</v>
      </c>
      <c r="O37" s="65" t="s">
        <v>809</v>
      </c>
      <c r="P37" s="65">
        <v>104.72</v>
      </c>
      <c r="Q37" s="95">
        <f t="shared" si="1"/>
        <v>104.72</v>
      </c>
    </row>
    <row r="38">
      <c r="A38" s="11" t="s">
        <v>415</v>
      </c>
      <c r="B38" s="11">
        <v>333.65769</v>
      </c>
      <c r="C38" s="11">
        <v>83.57588</v>
      </c>
      <c r="D38" s="76">
        <v>4.2</v>
      </c>
      <c r="E38" s="11" t="s">
        <v>42</v>
      </c>
      <c r="F38" s="13"/>
      <c r="G38" s="13"/>
      <c r="H38" s="13"/>
      <c r="I38" s="13"/>
      <c r="J38" s="57"/>
      <c r="K38" s="57"/>
      <c r="L38" s="65" t="s">
        <v>800</v>
      </c>
      <c r="M38" s="65" t="s">
        <v>800</v>
      </c>
      <c r="N38" s="65" t="s">
        <v>800</v>
      </c>
      <c r="O38" s="65" t="s">
        <v>803</v>
      </c>
      <c r="P38" s="65" t="s">
        <v>75</v>
      </c>
      <c r="Q38" s="95" t="str">
        <f t="shared" si="1"/>
        <v/>
      </c>
    </row>
    <row r="39">
      <c r="A39" s="113" t="s">
        <v>427</v>
      </c>
      <c r="B39" s="113">
        <v>293.425</v>
      </c>
      <c r="C39" s="113">
        <v>57.996</v>
      </c>
      <c r="D39" s="73" t="s">
        <v>435</v>
      </c>
      <c r="E39" s="113" t="s">
        <v>439</v>
      </c>
      <c r="F39" s="114"/>
      <c r="G39" s="115" t="s">
        <v>440</v>
      </c>
      <c r="H39" s="114"/>
      <c r="I39" s="113" t="s">
        <v>821</v>
      </c>
      <c r="J39" s="116">
        <v>59.2</v>
      </c>
      <c r="K39" s="57"/>
      <c r="L39" s="65" t="s">
        <v>799</v>
      </c>
      <c r="M39" s="65" t="s">
        <v>800</v>
      </c>
      <c r="N39" s="65" t="s">
        <v>800</v>
      </c>
      <c r="O39" s="65" t="s">
        <v>803</v>
      </c>
      <c r="P39" s="65">
        <v>59.2</v>
      </c>
      <c r="Q39" s="95">
        <f t="shared" si="1"/>
        <v>59.2</v>
      </c>
    </row>
    <row r="40">
      <c r="A40" s="11" t="s">
        <v>441</v>
      </c>
      <c r="B40" s="11">
        <v>325.3343</v>
      </c>
      <c r="C40" s="11">
        <v>5.0814</v>
      </c>
      <c r="D40" s="76" t="s">
        <v>450</v>
      </c>
      <c r="E40" s="11" t="s">
        <v>439</v>
      </c>
      <c r="F40" s="13"/>
      <c r="G40" s="11" t="s">
        <v>822</v>
      </c>
      <c r="H40" s="13"/>
      <c r="I40" s="11" t="s">
        <v>453</v>
      </c>
      <c r="J40" s="68">
        <v>71.95</v>
      </c>
      <c r="K40" s="57"/>
      <c r="L40" s="65" t="s">
        <v>800</v>
      </c>
      <c r="M40" s="65" t="s">
        <v>800</v>
      </c>
      <c r="N40" s="65" t="s">
        <v>800</v>
      </c>
      <c r="O40" s="65" t="s">
        <v>803</v>
      </c>
      <c r="P40" s="65">
        <v>71.95</v>
      </c>
      <c r="Q40" s="95">
        <f t="shared" si="1"/>
        <v>71.95</v>
      </c>
    </row>
    <row r="41">
      <c r="A41" s="11" t="s">
        <v>454</v>
      </c>
      <c r="B41" s="11">
        <v>343.216</v>
      </c>
      <c r="C41" s="11">
        <v>80.438</v>
      </c>
      <c r="D41" s="13"/>
      <c r="E41" s="11" t="s">
        <v>67</v>
      </c>
      <c r="F41" s="13"/>
      <c r="G41" s="13"/>
      <c r="H41" s="13"/>
      <c r="I41" s="13"/>
      <c r="J41" s="57"/>
      <c r="K41" s="57"/>
      <c r="L41" s="65" t="s">
        <v>800</v>
      </c>
      <c r="M41" s="65" t="s">
        <v>800</v>
      </c>
      <c r="N41" s="65" t="s">
        <v>800</v>
      </c>
      <c r="O41" s="65" t="s">
        <v>803</v>
      </c>
      <c r="P41" s="65" t="s">
        <v>75</v>
      </c>
      <c r="Q41" s="95" t="str">
        <f t="shared" si="1"/>
        <v/>
      </c>
    </row>
    <row r="42">
      <c r="A42" s="11" t="s">
        <v>456</v>
      </c>
      <c r="B42" s="11">
        <v>327.911</v>
      </c>
      <c r="C42" s="11">
        <v>-56.652</v>
      </c>
      <c r="D42" s="11" t="s">
        <v>75</v>
      </c>
      <c r="E42" s="11" t="s">
        <v>183</v>
      </c>
      <c r="F42" s="11" t="s">
        <v>465</v>
      </c>
      <c r="G42" s="12" t="s">
        <v>466</v>
      </c>
      <c r="H42" s="13"/>
      <c r="I42" s="34" t="s">
        <v>823</v>
      </c>
      <c r="J42" s="68" t="s">
        <v>824</v>
      </c>
      <c r="K42" s="57"/>
      <c r="L42" s="65" t="s">
        <v>799</v>
      </c>
      <c r="M42" s="65" t="s">
        <v>799</v>
      </c>
      <c r="N42" s="65" t="s">
        <v>800</v>
      </c>
      <c r="O42" s="65" t="s">
        <v>801</v>
      </c>
      <c r="P42" s="65">
        <v>3.28</v>
      </c>
      <c r="Q42" s="95">
        <f t="shared" si="1"/>
        <v>3.28</v>
      </c>
    </row>
    <row r="43">
      <c r="A43" s="11" t="s">
        <v>468</v>
      </c>
      <c r="B43" s="11">
        <v>273.724</v>
      </c>
      <c r="C43" s="11">
        <v>33.492</v>
      </c>
      <c r="D43" s="13"/>
      <c r="E43" s="11" t="s">
        <v>67</v>
      </c>
      <c r="F43" s="13"/>
      <c r="G43" s="13"/>
      <c r="H43" s="13"/>
      <c r="I43" s="13"/>
      <c r="J43" s="57"/>
      <c r="K43" s="57"/>
      <c r="L43" s="65" t="s">
        <v>800</v>
      </c>
      <c r="M43" s="65" t="s">
        <v>800</v>
      </c>
      <c r="N43" s="65" t="s">
        <v>800</v>
      </c>
      <c r="O43" s="65" t="s">
        <v>803</v>
      </c>
      <c r="P43" s="65" t="s">
        <v>75</v>
      </c>
      <c r="Q43" s="95" t="str">
        <f t="shared" si="1"/>
        <v/>
      </c>
    </row>
    <row r="44">
      <c r="A44" s="11" t="s">
        <v>479</v>
      </c>
      <c r="B44" s="11">
        <v>155.39648</v>
      </c>
      <c r="C44" s="11">
        <v>6.32872</v>
      </c>
      <c r="D44" s="17" t="s">
        <v>486</v>
      </c>
      <c r="E44" s="11" t="s">
        <v>67</v>
      </c>
      <c r="F44" s="13"/>
      <c r="G44" s="13"/>
      <c r="H44" s="13"/>
      <c r="I44" s="13"/>
      <c r="J44" s="57"/>
      <c r="K44" s="57"/>
      <c r="L44" s="65" t="s">
        <v>800</v>
      </c>
      <c r="M44" s="65" t="s">
        <v>800</v>
      </c>
      <c r="N44" s="65" t="s">
        <v>800</v>
      </c>
      <c r="O44" s="65" t="s">
        <v>803</v>
      </c>
      <c r="P44" s="65" t="s">
        <v>75</v>
      </c>
      <c r="Q44" s="95" t="str">
        <f t="shared" si="1"/>
        <v/>
      </c>
    </row>
    <row r="45">
      <c r="A45" s="11" t="s">
        <v>490</v>
      </c>
      <c r="B45" s="11">
        <v>194.63185</v>
      </c>
      <c r="C45" s="11">
        <v>76.17637</v>
      </c>
      <c r="D45" s="11" t="s">
        <v>499</v>
      </c>
      <c r="E45" s="11" t="s">
        <v>67</v>
      </c>
      <c r="F45" s="13"/>
      <c r="G45" s="13"/>
      <c r="H45" s="13"/>
      <c r="I45" s="13"/>
      <c r="J45" s="57"/>
      <c r="K45" s="57"/>
      <c r="L45" s="65" t="s">
        <v>800</v>
      </c>
      <c r="M45" s="65" t="s">
        <v>800</v>
      </c>
      <c r="N45" s="65" t="s">
        <v>800</v>
      </c>
      <c r="O45" s="65" t="s">
        <v>803</v>
      </c>
      <c r="P45" s="65" t="s">
        <v>75</v>
      </c>
      <c r="Q45" s="95" t="str">
        <f t="shared" si="1"/>
        <v/>
      </c>
    </row>
    <row r="46">
      <c r="A46" s="11" t="s">
        <v>502</v>
      </c>
      <c r="B46" s="11">
        <v>116.163</v>
      </c>
      <c r="C46" s="11">
        <v>35.269</v>
      </c>
      <c r="D46" s="11" t="s">
        <v>75</v>
      </c>
      <c r="E46" s="11" t="s">
        <v>67</v>
      </c>
      <c r="F46" s="13"/>
      <c r="G46" s="13"/>
      <c r="H46" s="13"/>
      <c r="I46" s="13"/>
      <c r="J46" s="57"/>
      <c r="K46" s="57"/>
      <c r="L46" s="65" t="s">
        <v>800</v>
      </c>
      <c r="M46" s="65" t="s">
        <v>800</v>
      </c>
      <c r="N46" s="65" t="s">
        <v>800</v>
      </c>
      <c r="O46" s="65" t="s">
        <v>803</v>
      </c>
      <c r="P46" s="65" t="s">
        <v>75</v>
      </c>
      <c r="Q46" s="95" t="str">
        <f t="shared" si="1"/>
        <v/>
      </c>
    </row>
    <row r="47">
      <c r="A47" s="11" t="s">
        <v>513</v>
      </c>
      <c r="B47" s="11">
        <v>84.1511</v>
      </c>
      <c r="C47" s="11">
        <v>-25.2968</v>
      </c>
      <c r="D47" s="76" t="s">
        <v>522</v>
      </c>
      <c r="E47" s="11" t="s">
        <v>67</v>
      </c>
      <c r="F47" s="13"/>
      <c r="G47" s="13"/>
      <c r="H47" s="13"/>
      <c r="I47" s="13"/>
      <c r="J47" s="57"/>
      <c r="K47" s="57"/>
      <c r="L47" s="65" t="s">
        <v>800</v>
      </c>
      <c r="M47" s="65" t="s">
        <v>800</v>
      </c>
      <c r="N47" s="65" t="s">
        <v>800</v>
      </c>
      <c r="O47" s="65" t="s">
        <v>803</v>
      </c>
      <c r="P47" s="65" t="s">
        <v>75</v>
      </c>
      <c r="Q47" s="95" t="str">
        <f t="shared" si="1"/>
        <v/>
      </c>
    </row>
    <row r="48">
      <c r="A48" s="11" t="s">
        <v>527</v>
      </c>
      <c r="B48" s="11">
        <v>192.8735</v>
      </c>
      <c r="C48" s="11">
        <v>31.7474</v>
      </c>
      <c r="D48" s="17" t="s">
        <v>75</v>
      </c>
      <c r="E48" s="11" t="s">
        <v>67</v>
      </c>
      <c r="F48" s="13"/>
      <c r="G48" s="13"/>
      <c r="H48" s="13"/>
      <c r="I48" s="13"/>
      <c r="J48" s="57"/>
      <c r="K48" s="57"/>
      <c r="L48" s="65" t="s">
        <v>800</v>
      </c>
      <c r="M48" s="65" t="s">
        <v>800</v>
      </c>
      <c r="N48" s="65" t="s">
        <v>800</v>
      </c>
      <c r="O48" s="65" t="s">
        <v>803</v>
      </c>
      <c r="P48" s="65" t="s">
        <v>75</v>
      </c>
      <c r="Q48" s="95" t="str">
        <f t="shared" si="1"/>
        <v/>
      </c>
    </row>
    <row r="49">
      <c r="A49" s="11" t="s">
        <v>533</v>
      </c>
      <c r="B49" s="11">
        <v>274.1803</v>
      </c>
      <c r="C49" s="11">
        <v>74.6851</v>
      </c>
      <c r="D49" s="17" t="s">
        <v>75</v>
      </c>
      <c r="E49" s="11" t="s">
        <v>67</v>
      </c>
      <c r="F49" s="13"/>
      <c r="G49" s="13"/>
      <c r="H49" s="13"/>
      <c r="I49" s="13"/>
      <c r="J49" s="57"/>
      <c r="K49" s="57"/>
      <c r="L49" s="65" t="s">
        <v>800</v>
      </c>
      <c r="M49" s="65" t="s">
        <v>800</v>
      </c>
      <c r="N49" s="65" t="s">
        <v>800</v>
      </c>
      <c r="O49" s="65" t="s">
        <v>803</v>
      </c>
      <c r="P49" s="65" t="s">
        <v>75</v>
      </c>
      <c r="Q49" s="95" t="str">
        <f t="shared" si="1"/>
        <v/>
      </c>
    </row>
    <row r="50">
      <c r="A50" s="113" t="s">
        <v>547</v>
      </c>
      <c r="B50" s="117">
        <v>218.22421</v>
      </c>
      <c r="C50" s="117">
        <v>61.29496</v>
      </c>
      <c r="D50" s="11" t="s">
        <v>556</v>
      </c>
      <c r="E50" s="113" t="s">
        <v>564</v>
      </c>
      <c r="F50" s="113" t="s">
        <v>565</v>
      </c>
      <c r="G50" s="115" t="s">
        <v>566</v>
      </c>
      <c r="H50" s="113" t="s">
        <v>567</v>
      </c>
      <c r="I50" s="118" t="s">
        <v>825</v>
      </c>
      <c r="J50" s="116" t="s">
        <v>826</v>
      </c>
      <c r="K50" s="116" t="s">
        <v>827</v>
      </c>
      <c r="L50" s="119" t="s">
        <v>799</v>
      </c>
      <c r="M50" s="65" t="s">
        <v>799</v>
      </c>
      <c r="N50" s="65" t="s">
        <v>799</v>
      </c>
      <c r="O50" s="65" t="s">
        <v>801</v>
      </c>
      <c r="P50" s="65">
        <v>56.34</v>
      </c>
      <c r="Q50" s="95">
        <f t="shared" si="1"/>
        <v>56.34</v>
      </c>
    </row>
    <row r="51">
      <c r="A51" s="113" t="s">
        <v>569</v>
      </c>
      <c r="B51" s="117">
        <v>269.48753</v>
      </c>
      <c r="C51" s="117">
        <v>-7.03592</v>
      </c>
      <c r="D51" s="11" t="s">
        <v>556</v>
      </c>
      <c r="E51" s="113" t="s">
        <v>581</v>
      </c>
      <c r="F51" s="113" t="s">
        <v>582</v>
      </c>
      <c r="G51" s="115" t="s">
        <v>583</v>
      </c>
      <c r="H51" s="113" t="s">
        <v>584</v>
      </c>
      <c r="I51" s="113" t="s">
        <v>828</v>
      </c>
      <c r="J51" s="116">
        <v>0.09</v>
      </c>
      <c r="K51" s="120"/>
      <c r="L51" s="119" t="s">
        <v>799</v>
      </c>
      <c r="M51" s="65" t="s">
        <v>800</v>
      </c>
      <c r="N51" s="65" t="s">
        <v>800</v>
      </c>
      <c r="O51" s="65" t="s">
        <v>807</v>
      </c>
      <c r="P51" s="65">
        <v>0.09</v>
      </c>
      <c r="Q51" s="95">
        <f t="shared" si="1"/>
        <v>0.09</v>
      </c>
    </row>
    <row r="52">
      <c r="A52" s="11" t="s">
        <v>585</v>
      </c>
      <c r="B52" s="82">
        <v>191.4734</v>
      </c>
      <c r="C52" s="85">
        <f>+89.1846</f>
        <v>89.1846</v>
      </c>
      <c r="D52" s="11" t="s">
        <v>556</v>
      </c>
      <c r="E52" s="11" t="s">
        <v>67</v>
      </c>
      <c r="F52" s="13"/>
      <c r="G52" s="13"/>
      <c r="H52" s="13"/>
      <c r="I52" s="13"/>
      <c r="J52" s="57"/>
      <c r="K52" s="57"/>
      <c r="L52" s="65" t="s">
        <v>800</v>
      </c>
      <c r="M52" s="65" t="s">
        <v>800</v>
      </c>
      <c r="N52" s="65" t="s">
        <v>800</v>
      </c>
      <c r="O52" s="65" t="s">
        <v>803</v>
      </c>
      <c r="P52" s="65" t="s">
        <v>75</v>
      </c>
      <c r="Q52" s="95" t="str">
        <f t="shared" si="1"/>
        <v/>
      </c>
    </row>
    <row r="53">
      <c r="A53" s="113" t="s">
        <v>829</v>
      </c>
      <c r="B53" s="113">
        <v>50.413</v>
      </c>
      <c r="C53" s="113">
        <v>10.001</v>
      </c>
      <c r="D53" s="11" t="s">
        <v>556</v>
      </c>
      <c r="E53" s="113" t="s">
        <v>608</v>
      </c>
      <c r="F53" s="113" t="s">
        <v>609</v>
      </c>
      <c r="G53" s="115" t="s">
        <v>610</v>
      </c>
      <c r="H53" s="114"/>
      <c r="I53" s="113"/>
      <c r="J53" s="120"/>
      <c r="K53" s="116" t="s">
        <v>830</v>
      </c>
      <c r="L53" s="65" t="s">
        <v>799</v>
      </c>
      <c r="M53" s="65" t="s">
        <v>800</v>
      </c>
      <c r="N53" s="65" t="s">
        <v>800</v>
      </c>
      <c r="O53" s="65" t="s">
        <v>803</v>
      </c>
      <c r="P53" s="65" t="s">
        <v>75</v>
      </c>
      <c r="Q53" s="95" t="str">
        <f t="shared" si="1"/>
        <v/>
      </c>
    </row>
    <row r="54">
      <c r="A54" s="11" t="s">
        <v>611</v>
      </c>
      <c r="B54" s="82">
        <v>92.48</v>
      </c>
      <c r="C54" s="82">
        <v>-50.97</v>
      </c>
      <c r="D54" s="11" t="s">
        <v>556</v>
      </c>
      <c r="E54" s="11" t="s">
        <v>67</v>
      </c>
      <c r="F54" s="13"/>
      <c r="G54" s="12" t="s">
        <v>620</v>
      </c>
      <c r="H54" s="13"/>
      <c r="I54" s="13"/>
      <c r="J54" s="57"/>
      <c r="K54" s="57"/>
      <c r="L54" s="65" t="s">
        <v>799</v>
      </c>
      <c r="M54" s="65" t="s">
        <v>800</v>
      </c>
      <c r="N54" s="65" t="s">
        <v>800</v>
      </c>
      <c r="O54" s="65" t="s">
        <v>803</v>
      </c>
      <c r="P54" s="65" t="s">
        <v>75</v>
      </c>
      <c r="Q54" s="95" t="str">
        <f t="shared" si="1"/>
        <v/>
      </c>
    </row>
    <row r="55">
      <c r="A55" s="113" t="s">
        <v>621</v>
      </c>
      <c r="B55" s="113">
        <v>123.96809</v>
      </c>
      <c r="C55" s="114">
        <f>+30.34259</f>
        <v>30.34259</v>
      </c>
      <c r="D55" s="11" t="s">
        <v>556</v>
      </c>
      <c r="E55" s="113" t="s">
        <v>564</v>
      </c>
      <c r="F55" s="113" t="s">
        <v>633</v>
      </c>
      <c r="G55" s="115" t="s">
        <v>634</v>
      </c>
      <c r="H55" s="113" t="s">
        <v>635</v>
      </c>
      <c r="I55" s="118" t="s">
        <v>831</v>
      </c>
      <c r="J55" s="116" t="s">
        <v>832</v>
      </c>
      <c r="K55" s="116" t="s">
        <v>833</v>
      </c>
      <c r="L55" s="65" t="s">
        <v>799</v>
      </c>
      <c r="M55" s="65" t="s">
        <v>799</v>
      </c>
      <c r="O55" s="65" t="s">
        <v>801</v>
      </c>
      <c r="P55" s="65">
        <v>8.81</v>
      </c>
      <c r="Q55" s="95">
        <f t="shared" si="1"/>
        <v>8.81</v>
      </c>
    </row>
    <row r="56">
      <c r="A56" s="11" t="s">
        <v>834</v>
      </c>
      <c r="B56" s="11">
        <v>320.758</v>
      </c>
      <c r="C56" s="11">
        <v>-0.261</v>
      </c>
      <c r="D56" s="11" t="s">
        <v>556</v>
      </c>
      <c r="E56" s="13"/>
      <c r="F56" s="13"/>
      <c r="G56" s="13"/>
      <c r="H56" s="13"/>
      <c r="I56" s="70" t="s">
        <v>835</v>
      </c>
      <c r="J56" s="68" t="s">
        <v>836</v>
      </c>
      <c r="K56" s="57"/>
      <c r="M56" s="11"/>
      <c r="N56" s="65" t="s">
        <v>799</v>
      </c>
      <c r="O56" s="65" t="s">
        <v>801</v>
      </c>
      <c r="P56" s="65">
        <v>66.67</v>
      </c>
      <c r="Q56" s="95">
        <f t="shared" si="1"/>
        <v>66.67</v>
      </c>
    </row>
    <row r="57">
      <c r="A57" s="113" t="s">
        <v>643</v>
      </c>
      <c r="B57" s="113">
        <v>275.88811</v>
      </c>
      <c r="C57" s="113" t="s">
        <v>646</v>
      </c>
      <c r="D57" s="11" t="s">
        <v>556</v>
      </c>
      <c r="E57" s="113" t="s">
        <v>581</v>
      </c>
      <c r="F57" s="113" t="s">
        <v>661</v>
      </c>
      <c r="G57" s="115" t="s">
        <v>662</v>
      </c>
      <c r="H57" s="113" t="s">
        <v>663</v>
      </c>
      <c r="I57" s="114"/>
      <c r="J57" s="120"/>
      <c r="K57" s="116" t="s">
        <v>837</v>
      </c>
      <c r="L57" s="65" t="s">
        <v>799</v>
      </c>
      <c r="M57" s="65" t="s">
        <v>800</v>
      </c>
      <c r="N57" s="65" t="s">
        <v>800</v>
      </c>
      <c r="O57" s="65" t="s">
        <v>807</v>
      </c>
      <c r="P57" s="65" t="s">
        <v>75</v>
      </c>
      <c r="Q57" s="95" t="str">
        <f t="shared" si="1"/>
        <v/>
      </c>
    </row>
    <row r="58">
      <c r="A58" s="113" t="s">
        <v>664</v>
      </c>
      <c r="B58" s="113">
        <v>97.61218</v>
      </c>
      <c r="C58" s="114">
        <f>+9.54754</f>
        <v>9.54754</v>
      </c>
      <c r="D58" s="11" t="s">
        <v>556</v>
      </c>
      <c r="E58" s="113" t="s">
        <v>581</v>
      </c>
      <c r="F58" s="113" t="s">
        <v>676</v>
      </c>
      <c r="G58" s="115" t="s">
        <v>677</v>
      </c>
      <c r="H58" s="113" t="s">
        <v>678</v>
      </c>
      <c r="I58" s="114"/>
      <c r="J58" s="120"/>
      <c r="K58" s="116" t="s">
        <v>838</v>
      </c>
      <c r="L58" s="65" t="s">
        <v>799</v>
      </c>
      <c r="M58" s="65" t="s">
        <v>800</v>
      </c>
      <c r="N58" s="65" t="s">
        <v>800</v>
      </c>
      <c r="O58" s="65" t="s">
        <v>807</v>
      </c>
      <c r="P58" s="65" t="s">
        <v>75</v>
      </c>
      <c r="Q58" s="95" t="str">
        <f t="shared" si="1"/>
        <v/>
      </c>
    </row>
    <row r="59">
      <c r="A59" s="11" t="s">
        <v>679</v>
      </c>
      <c r="B59" s="11">
        <v>85.583</v>
      </c>
      <c r="C59" s="11">
        <v>14.01</v>
      </c>
      <c r="D59" s="11" t="s">
        <v>556</v>
      </c>
      <c r="E59" s="11" t="s">
        <v>67</v>
      </c>
      <c r="F59" s="13"/>
      <c r="G59" s="13"/>
      <c r="H59" s="13"/>
      <c r="I59" s="13"/>
      <c r="J59" s="57"/>
      <c r="K59" s="57"/>
      <c r="L59" s="65" t="s">
        <v>800</v>
      </c>
      <c r="M59" s="65" t="s">
        <v>800</v>
      </c>
      <c r="N59" s="65" t="s">
        <v>800</v>
      </c>
      <c r="O59" s="65" t="s">
        <v>803</v>
      </c>
      <c r="P59" s="65" t="s">
        <v>75</v>
      </c>
      <c r="Q59" s="95" t="str">
        <f t="shared" si="1"/>
        <v/>
      </c>
    </row>
    <row r="60">
      <c r="A60" s="11" t="s">
        <v>688</v>
      </c>
      <c r="B60" s="11">
        <v>147.667</v>
      </c>
      <c r="C60" s="11">
        <v>13.1472</v>
      </c>
      <c r="D60" s="11" t="s">
        <v>556</v>
      </c>
      <c r="E60" s="11" t="s">
        <v>839</v>
      </c>
      <c r="F60" s="13"/>
      <c r="G60" s="34" t="s">
        <v>840</v>
      </c>
      <c r="H60" s="13"/>
      <c r="I60" s="34" t="s">
        <v>841</v>
      </c>
      <c r="J60" s="68" t="s">
        <v>842</v>
      </c>
      <c r="K60" s="57"/>
      <c r="L60" s="65" t="s">
        <v>799</v>
      </c>
      <c r="M60" s="65" t="s">
        <v>800</v>
      </c>
      <c r="N60" s="65" t="s">
        <v>799</v>
      </c>
      <c r="O60" s="65" t="s">
        <v>805</v>
      </c>
      <c r="P60" s="65">
        <v>70.29</v>
      </c>
      <c r="Q60" s="95">
        <f t="shared" si="1"/>
        <v>70.29</v>
      </c>
    </row>
    <row r="61">
      <c r="A61" s="6" t="s">
        <v>704</v>
      </c>
      <c r="B61" s="6">
        <v>29.09871</v>
      </c>
      <c r="C61" s="6" t="s">
        <v>708</v>
      </c>
      <c r="D61" s="6">
        <v>4.06</v>
      </c>
      <c r="E61" s="6" t="s">
        <v>839</v>
      </c>
      <c r="F61" s="31"/>
      <c r="G61" s="30" t="s">
        <v>843</v>
      </c>
      <c r="H61" s="31"/>
      <c r="I61" s="31"/>
      <c r="J61" s="57"/>
      <c r="K61" s="57"/>
      <c r="L61" s="65" t="s">
        <v>799</v>
      </c>
      <c r="M61" s="65" t="s">
        <v>800</v>
      </c>
      <c r="N61" s="65" t="s">
        <v>800</v>
      </c>
      <c r="O61" s="65" t="s">
        <v>803</v>
      </c>
      <c r="P61" s="65" t="s">
        <v>75</v>
      </c>
      <c r="Q61" s="95" t="str">
        <f t="shared" si="1"/>
        <v/>
      </c>
    </row>
    <row r="62">
      <c r="A62" s="113" t="s">
        <v>721</v>
      </c>
      <c r="B62" s="113">
        <v>314.2027</v>
      </c>
      <c r="C62" s="113">
        <v>41.0898</v>
      </c>
      <c r="D62" s="11" t="s">
        <v>556</v>
      </c>
      <c r="E62" s="113" t="s">
        <v>581</v>
      </c>
      <c r="F62" s="113" t="s">
        <v>731</v>
      </c>
      <c r="G62" s="115" t="s">
        <v>732</v>
      </c>
      <c r="H62" s="113" t="s">
        <v>733</v>
      </c>
      <c r="I62" s="114"/>
      <c r="J62" s="120"/>
      <c r="K62" s="116" t="s">
        <v>844</v>
      </c>
      <c r="L62" s="65" t="s">
        <v>799</v>
      </c>
      <c r="M62" s="65" t="s">
        <v>800</v>
      </c>
      <c r="N62" s="65" t="s">
        <v>800</v>
      </c>
      <c r="O62" s="65" t="s">
        <v>807</v>
      </c>
      <c r="P62" s="65" t="s">
        <v>75</v>
      </c>
      <c r="Q62" s="95" t="str">
        <f t="shared" si="1"/>
        <v/>
      </c>
    </row>
    <row r="63">
      <c r="A63" s="11" t="s">
        <v>734</v>
      </c>
      <c r="B63" s="11">
        <v>225.62095</v>
      </c>
      <c r="C63" s="13">
        <f>+47.44205</f>
        <v>47.44205</v>
      </c>
      <c r="D63" s="89" t="s">
        <v>631</v>
      </c>
      <c r="E63" s="11" t="s">
        <v>67</v>
      </c>
      <c r="F63" s="13"/>
      <c r="G63" s="13"/>
      <c r="H63" s="13"/>
      <c r="I63" s="13"/>
      <c r="J63" s="57"/>
      <c r="K63" s="57"/>
      <c r="L63" s="65" t="s">
        <v>800</v>
      </c>
      <c r="M63" s="65" t="s">
        <v>800</v>
      </c>
      <c r="N63" s="65" t="s">
        <v>800</v>
      </c>
      <c r="O63" s="65" t="s">
        <v>803</v>
      </c>
      <c r="P63" s="65" t="s">
        <v>75</v>
      </c>
      <c r="Q63" s="95" t="str">
        <f t="shared" si="1"/>
        <v/>
      </c>
    </row>
    <row r="64">
      <c r="A64" s="113" t="s">
        <v>744</v>
      </c>
      <c r="B64" s="113">
        <v>169.74062</v>
      </c>
      <c r="C64" s="113">
        <v>33.04199</v>
      </c>
      <c r="D64" s="89" t="s">
        <v>753</v>
      </c>
      <c r="E64" s="113" t="s">
        <v>581</v>
      </c>
      <c r="F64" s="113" t="s">
        <v>757</v>
      </c>
      <c r="G64" s="115" t="s">
        <v>758</v>
      </c>
      <c r="H64" s="113" t="s">
        <v>759</v>
      </c>
      <c r="I64" s="114"/>
      <c r="J64" s="120"/>
      <c r="K64" s="116" t="s">
        <v>845</v>
      </c>
      <c r="L64" s="65" t="s">
        <v>799</v>
      </c>
      <c r="M64" s="65" t="s">
        <v>800</v>
      </c>
      <c r="N64" s="65" t="s">
        <v>800</v>
      </c>
      <c r="O64" s="65" t="s">
        <v>807</v>
      </c>
      <c r="P64" s="65" t="s">
        <v>75</v>
      </c>
      <c r="Q64" s="95" t="str">
        <f t="shared" si="1"/>
        <v/>
      </c>
    </row>
    <row r="65">
      <c r="A65" s="113" t="s">
        <v>760</v>
      </c>
      <c r="B65" s="113">
        <v>288.265</v>
      </c>
      <c r="C65" s="114">
        <f>+19.774</f>
        <v>19.774</v>
      </c>
      <c r="D65" s="29">
        <v>0.151</v>
      </c>
      <c r="E65" s="113" t="s">
        <v>581</v>
      </c>
      <c r="F65" s="113" t="s">
        <v>780</v>
      </c>
      <c r="G65" s="115" t="s">
        <v>781</v>
      </c>
      <c r="H65" s="113" t="s">
        <v>782</v>
      </c>
      <c r="I65" s="118" t="s">
        <v>846</v>
      </c>
      <c r="J65" s="116" t="s">
        <v>847</v>
      </c>
      <c r="K65" s="116" t="s">
        <v>848</v>
      </c>
      <c r="L65" s="65" t="s">
        <v>799</v>
      </c>
      <c r="M65" s="65" t="s">
        <v>800</v>
      </c>
      <c r="N65" s="65" t="s">
        <v>800</v>
      </c>
      <c r="O65" s="65" t="s">
        <v>807</v>
      </c>
      <c r="P65" s="65" t="s">
        <v>75</v>
      </c>
      <c r="Q65" s="95" t="str">
        <f t="shared" si="1"/>
        <v/>
      </c>
    </row>
    <row r="66">
      <c r="D66" s="65"/>
      <c r="E66" s="65"/>
      <c r="F66" s="57"/>
      <c r="G66" s="57"/>
      <c r="H66" s="57"/>
      <c r="I66" s="57"/>
    </row>
    <row r="67">
      <c r="D67" s="57"/>
      <c r="E67" s="57"/>
      <c r="F67" s="57"/>
      <c r="G67" s="57"/>
      <c r="H67" s="57"/>
      <c r="I67" s="57"/>
    </row>
    <row r="68">
      <c r="D68" s="57"/>
      <c r="E68" s="57"/>
      <c r="F68" s="57"/>
      <c r="G68" s="57"/>
      <c r="H68" s="57"/>
      <c r="I68" s="57"/>
    </row>
    <row r="69">
      <c r="D69" s="57"/>
      <c r="E69" s="57"/>
      <c r="F69" s="57"/>
      <c r="G69" s="57"/>
      <c r="H69" s="57"/>
      <c r="I69" s="57"/>
    </row>
    <row r="70">
      <c r="C70" s="65" t="s">
        <v>849</v>
      </c>
      <c r="D70" s="68">
        <v>64.0</v>
      </c>
      <c r="E70" s="57"/>
      <c r="F70" s="57"/>
      <c r="G70" s="57"/>
      <c r="H70" s="57"/>
      <c r="I70" s="57"/>
    </row>
    <row r="71">
      <c r="D71" s="57"/>
      <c r="E71" s="57"/>
      <c r="F71" s="57"/>
      <c r="G71" s="57"/>
      <c r="H71" s="57"/>
      <c r="I71" s="57"/>
    </row>
  </sheetData>
  <hyperlinks>
    <hyperlink r:id="rId1" ref="A2"/>
    <hyperlink r:id="rId2" ref="G2"/>
    <hyperlink r:id="rId3" ref="A4"/>
    <hyperlink r:id="rId4" ref="A5"/>
    <hyperlink r:id="rId5" ref="G5"/>
    <hyperlink r:id="rId6" ref="A6"/>
    <hyperlink r:id="rId7" ref="A8"/>
    <hyperlink r:id="rId8" ref="A9"/>
    <hyperlink r:id="rId9" ref="A10"/>
    <hyperlink r:id="rId10" ref="A11"/>
    <hyperlink r:id="rId11" ref="G11"/>
    <hyperlink r:id="rId12" ref="A12"/>
    <hyperlink r:id="rId13" ref="A13"/>
    <hyperlink r:id="rId14" ref="A15"/>
    <hyperlink r:id="rId15" ref="G15"/>
    <hyperlink r:id="rId16" ref="A16"/>
    <hyperlink r:id="rId17" ref="A17"/>
    <hyperlink r:id="rId18" ref="G17"/>
    <hyperlink r:id="rId19" ref="A20"/>
    <hyperlink r:id="rId20" ref="A21"/>
    <hyperlink r:id="rId21" ref="A22"/>
    <hyperlink r:id="rId22" ref="G23"/>
    <hyperlink r:id="rId23" ref="I24"/>
    <hyperlink r:id="rId24" ref="G26"/>
    <hyperlink r:id="rId25" ref="G30"/>
    <hyperlink r:id="rId26" ref="G31"/>
    <hyperlink r:id="rId27" ref="G32"/>
    <hyperlink r:id="rId28" ref="G37"/>
    <hyperlink r:id="rId29" ref="G39"/>
    <hyperlink r:id="rId30" ref="G42"/>
    <hyperlink r:id="rId31" ref="I42"/>
    <hyperlink r:id="rId32" ref="G50"/>
    <hyperlink r:id="rId33" ref="I50"/>
    <hyperlink r:id="rId34" ref="G51"/>
    <hyperlink r:id="rId35" ref="G53"/>
    <hyperlink r:id="rId36" ref="G54"/>
    <hyperlink r:id="rId37" ref="G55"/>
    <hyperlink r:id="rId38" ref="I55"/>
    <hyperlink r:id="rId39" ref="I56"/>
    <hyperlink r:id="rId40" ref="G57"/>
    <hyperlink r:id="rId41" ref="G58"/>
    <hyperlink r:id="rId42" ref="G60"/>
    <hyperlink r:id="rId43" ref="I60"/>
    <hyperlink r:id="rId44" ref="G61"/>
    <hyperlink r:id="rId45" ref="G62"/>
    <hyperlink r:id="rId46" ref="G64"/>
    <hyperlink r:id="rId47" ref="G65"/>
    <hyperlink r:id="rId48" ref="I65"/>
  </hyperlinks>
  <drawing r:id="rId4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13"/>
  </cols>
  <sheetData>
    <row r="1">
      <c r="A1" s="65" t="s">
        <v>849</v>
      </c>
      <c r="B1" s="68">
        <v>64.0</v>
      </c>
      <c r="C1" s="68"/>
      <c r="D1" s="121"/>
      <c r="E1" s="121"/>
      <c r="F1" s="68"/>
      <c r="G1" s="68"/>
    </row>
    <row r="2">
      <c r="A2" s="1" t="s">
        <v>0</v>
      </c>
      <c r="B2" s="2" t="s">
        <v>12</v>
      </c>
      <c r="C2" s="2" t="s">
        <v>13</v>
      </c>
      <c r="D2" s="1" t="s">
        <v>850</v>
      </c>
      <c r="E2" s="1" t="s">
        <v>851</v>
      </c>
      <c r="F2" s="2" t="s">
        <v>852</v>
      </c>
      <c r="G2" s="2" t="s">
        <v>790</v>
      </c>
      <c r="H2" s="65" t="s">
        <v>853</v>
      </c>
      <c r="I2" s="65" t="s">
        <v>854</v>
      </c>
      <c r="J2" s="65" t="s">
        <v>855</v>
      </c>
      <c r="K2" s="65" t="s">
        <v>856</v>
      </c>
    </row>
    <row r="3">
      <c r="A3" s="34" t="s">
        <v>29</v>
      </c>
      <c r="B3" s="122">
        <v>166.572</v>
      </c>
      <c r="C3" s="123">
        <v>-15.129</v>
      </c>
      <c r="D3" s="123">
        <v>4.732</v>
      </c>
      <c r="E3" s="10" t="s">
        <v>46</v>
      </c>
      <c r="F3" s="11" t="s">
        <v>857</v>
      </c>
      <c r="G3" s="11">
        <v>92.26</v>
      </c>
      <c r="I3" s="95">
        <f t="shared" ref="I3:I29" si="1">G3*G3</f>
        <v>8511.9076</v>
      </c>
    </row>
    <row r="4">
      <c r="A4" s="104" t="s">
        <v>68</v>
      </c>
      <c r="B4" s="124">
        <v>173.278</v>
      </c>
      <c r="C4" s="124">
        <v>22.684</v>
      </c>
      <c r="D4" s="11" t="s">
        <v>77</v>
      </c>
      <c r="E4" s="11" t="s">
        <v>46</v>
      </c>
      <c r="F4" s="11" t="s">
        <v>858</v>
      </c>
      <c r="G4" s="11">
        <v>82.74</v>
      </c>
      <c r="I4" s="95">
        <f t="shared" si="1"/>
        <v>6845.9076</v>
      </c>
      <c r="K4" s="65" t="s">
        <v>859</v>
      </c>
    </row>
    <row r="5">
      <c r="A5" s="104" t="s">
        <v>134</v>
      </c>
      <c r="B5" s="125">
        <v>0.4910497685185185</v>
      </c>
      <c r="C5" s="126">
        <v>1.2433425925925927</v>
      </c>
      <c r="D5" s="37">
        <v>3.035</v>
      </c>
      <c r="E5" s="11" t="s">
        <v>860</v>
      </c>
      <c r="F5" s="10" t="s">
        <v>861</v>
      </c>
      <c r="G5" s="11">
        <v>98.68</v>
      </c>
      <c r="I5" s="95">
        <f t="shared" si="1"/>
        <v>9737.7424</v>
      </c>
    </row>
    <row r="6">
      <c r="A6" s="104" t="s">
        <v>173</v>
      </c>
      <c r="B6" s="124">
        <v>38.55311</v>
      </c>
      <c r="C6" s="11">
        <v>-38.07894</v>
      </c>
      <c r="D6" s="11" t="s">
        <v>75</v>
      </c>
      <c r="E6" s="11" t="s">
        <v>46</v>
      </c>
      <c r="F6" s="11" t="s">
        <v>862</v>
      </c>
      <c r="G6" s="11">
        <v>106.67</v>
      </c>
      <c r="I6" s="95">
        <f t="shared" si="1"/>
        <v>11378.4889</v>
      </c>
    </row>
    <row r="7">
      <c r="A7" s="34" t="s">
        <v>196</v>
      </c>
      <c r="B7" s="54">
        <v>0.047762615740740734</v>
      </c>
      <c r="C7" s="55">
        <v>-0.7218271990740741</v>
      </c>
      <c r="D7" s="127">
        <v>1.091</v>
      </c>
      <c r="E7" s="11" t="s">
        <v>46</v>
      </c>
      <c r="F7" s="11" t="s">
        <v>863</v>
      </c>
      <c r="G7" s="11">
        <v>65.02</v>
      </c>
      <c r="I7" s="95">
        <f t="shared" si="1"/>
        <v>4227.6004</v>
      </c>
    </row>
    <row r="8">
      <c r="A8" s="11" t="s">
        <v>239</v>
      </c>
      <c r="B8" s="11">
        <v>345.83562</v>
      </c>
      <c r="C8" s="11">
        <v>-0.21024</v>
      </c>
      <c r="D8" s="13"/>
      <c r="E8" s="11" t="s">
        <v>46</v>
      </c>
      <c r="F8" s="11" t="s">
        <v>864</v>
      </c>
      <c r="G8" s="11">
        <v>89.83</v>
      </c>
      <c r="I8" s="95">
        <f t="shared" si="1"/>
        <v>8069.4289</v>
      </c>
    </row>
    <row r="9">
      <c r="F9" s="65" t="s">
        <v>865</v>
      </c>
      <c r="G9" s="65">
        <v>66.86</v>
      </c>
      <c r="I9" s="95">
        <f t="shared" si="1"/>
        <v>4470.2596</v>
      </c>
    </row>
    <row r="10">
      <c r="A10" s="11" t="s">
        <v>245</v>
      </c>
      <c r="B10" s="124">
        <v>149.000901</v>
      </c>
      <c r="C10" s="11">
        <v>69.68013</v>
      </c>
      <c r="D10" s="11" t="s">
        <v>253</v>
      </c>
      <c r="E10" s="11" t="s">
        <v>46</v>
      </c>
      <c r="F10" s="10" t="s">
        <v>866</v>
      </c>
      <c r="G10" s="11">
        <v>18.44</v>
      </c>
      <c r="I10" s="95">
        <f t="shared" si="1"/>
        <v>340.0336</v>
      </c>
    </row>
    <row r="11">
      <c r="A11" s="11" t="s">
        <v>269</v>
      </c>
      <c r="B11" s="11">
        <v>5.271</v>
      </c>
      <c r="C11" s="11">
        <v>-36.521</v>
      </c>
      <c r="D11" s="11" t="s">
        <v>42</v>
      </c>
      <c r="E11" s="11" t="s">
        <v>46</v>
      </c>
      <c r="F11" s="11" t="s">
        <v>867</v>
      </c>
      <c r="G11" s="11">
        <v>100.09</v>
      </c>
      <c r="I11" s="95">
        <f t="shared" si="1"/>
        <v>10018.0081</v>
      </c>
    </row>
    <row r="12">
      <c r="A12" s="11" t="s">
        <v>330</v>
      </c>
      <c r="B12" s="11">
        <v>124.625</v>
      </c>
      <c r="C12" s="11">
        <v>33.999</v>
      </c>
      <c r="D12" s="82">
        <v>1.234</v>
      </c>
      <c r="E12" s="11" t="s">
        <v>46</v>
      </c>
      <c r="F12" s="11" t="s">
        <v>868</v>
      </c>
      <c r="G12" s="11">
        <v>77.98</v>
      </c>
      <c r="I12" s="95">
        <f t="shared" si="1"/>
        <v>6080.8804</v>
      </c>
    </row>
    <row r="13">
      <c r="A13" s="11" t="s">
        <v>348</v>
      </c>
      <c r="B13" s="11">
        <v>351.3</v>
      </c>
      <c r="C13" s="11">
        <v>21.33</v>
      </c>
      <c r="D13" s="11" t="s">
        <v>75</v>
      </c>
      <c r="E13" s="11" t="s">
        <v>46</v>
      </c>
      <c r="F13" s="11" t="s">
        <v>869</v>
      </c>
      <c r="G13" s="11">
        <v>95.3</v>
      </c>
      <c r="I13" s="95">
        <f t="shared" si="1"/>
        <v>9082.09</v>
      </c>
    </row>
    <row r="14">
      <c r="A14" s="11" t="s">
        <v>456</v>
      </c>
      <c r="B14" s="11">
        <v>327.911</v>
      </c>
      <c r="C14" s="11">
        <v>-56.652</v>
      </c>
      <c r="D14" s="11" t="s">
        <v>75</v>
      </c>
      <c r="E14" s="11" t="s">
        <v>46</v>
      </c>
      <c r="F14" s="10" t="s">
        <v>870</v>
      </c>
      <c r="G14" s="11">
        <v>3.28</v>
      </c>
      <c r="I14" s="95">
        <f t="shared" si="1"/>
        <v>10.7584</v>
      </c>
    </row>
    <row r="15">
      <c r="A15" s="11"/>
      <c r="B15" s="82"/>
      <c r="C15" s="82"/>
      <c r="D15" s="11"/>
      <c r="E15" s="11"/>
      <c r="F15" s="10" t="s">
        <v>871</v>
      </c>
      <c r="G15" s="11">
        <v>115.42</v>
      </c>
      <c r="I15" s="95">
        <f t="shared" si="1"/>
        <v>13321.7764</v>
      </c>
    </row>
    <row r="16">
      <c r="A16" s="11"/>
      <c r="B16" s="82"/>
      <c r="C16" s="82"/>
      <c r="D16" s="11"/>
      <c r="E16" s="11"/>
      <c r="F16" s="10" t="s">
        <v>872</v>
      </c>
      <c r="G16" s="11">
        <v>101.88</v>
      </c>
      <c r="I16" s="95">
        <f t="shared" si="1"/>
        <v>10379.5344</v>
      </c>
    </row>
    <row r="17">
      <c r="A17" s="11" t="s">
        <v>547</v>
      </c>
      <c r="B17" s="82">
        <v>218.22421</v>
      </c>
      <c r="C17" s="82">
        <v>61.29496</v>
      </c>
      <c r="D17" s="11" t="s">
        <v>556</v>
      </c>
      <c r="E17" s="11" t="s">
        <v>46</v>
      </c>
      <c r="F17" s="10" t="s">
        <v>873</v>
      </c>
      <c r="G17" s="11">
        <v>88.5</v>
      </c>
      <c r="I17" s="95">
        <f t="shared" si="1"/>
        <v>7832.25</v>
      </c>
    </row>
    <row r="18">
      <c r="A18" s="11"/>
      <c r="B18" s="82"/>
      <c r="C18" s="82"/>
      <c r="D18" s="11"/>
      <c r="E18" s="11"/>
      <c r="F18" s="11" t="s">
        <v>874</v>
      </c>
      <c r="G18" s="11">
        <v>101.96</v>
      </c>
      <c r="I18" s="95">
        <f t="shared" si="1"/>
        <v>10395.8416</v>
      </c>
    </row>
    <row r="19">
      <c r="A19" s="11"/>
      <c r="B19" s="82"/>
      <c r="C19" s="82"/>
      <c r="D19" s="11"/>
      <c r="E19" s="11"/>
      <c r="F19" s="11" t="s">
        <v>875</v>
      </c>
      <c r="G19" s="11">
        <v>56.34</v>
      </c>
      <c r="I19" s="95">
        <f t="shared" si="1"/>
        <v>3174.1956</v>
      </c>
    </row>
    <row r="20">
      <c r="A20" s="11" t="s">
        <v>621</v>
      </c>
      <c r="B20" s="11">
        <v>123.96809</v>
      </c>
      <c r="C20" s="13">
        <f>+30.34259</f>
        <v>30.34259</v>
      </c>
      <c r="D20" s="11" t="s">
        <v>556</v>
      </c>
      <c r="E20" s="11" t="s">
        <v>46</v>
      </c>
      <c r="F20" s="10" t="s">
        <v>876</v>
      </c>
      <c r="G20" s="11">
        <v>8.81</v>
      </c>
      <c r="I20" s="95">
        <f t="shared" si="1"/>
        <v>77.6161</v>
      </c>
    </row>
    <row r="21">
      <c r="F21" s="65" t="s">
        <v>877</v>
      </c>
      <c r="G21" s="65">
        <v>8.95</v>
      </c>
      <c r="I21" s="95">
        <f t="shared" si="1"/>
        <v>80.1025</v>
      </c>
    </row>
    <row r="22">
      <c r="A22" s="68"/>
      <c r="B22" s="68"/>
      <c r="C22" s="68"/>
      <c r="D22" s="68"/>
      <c r="E22" s="68"/>
      <c r="F22" s="128" t="s">
        <v>878</v>
      </c>
      <c r="G22" s="68">
        <v>9.09</v>
      </c>
      <c r="I22" s="95">
        <f t="shared" si="1"/>
        <v>82.6281</v>
      </c>
    </row>
    <row r="23">
      <c r="A23" s="68"/>
      <c r="B23" s="68"/>
      <c r="C23" s="68"/>
      <c r="D23" s="68"/>
      <c r="E23" s="68"/>
      <c r="F23" s="128" t="s">
        <v>879</v>
      </c>
      <c r="G23" s="68">
        <v>89.33</v>
      </c>
      <c r="I23" s="95">
        <f t="shared" si="1"/>
        <v>7979.8489</v>
      </c>
    </row>
    <row r="24">
      <c r="A24" s="68"/>
      <c r="B24" s="68"/>
      <c r="C24" s="68"/>
      <c r="D24" s="68"/>
      <c r="E24" s="68"/>
      <c r="F24" s="128" t="s">
        <v>880</v>
      </c>
      <c r="G24" s="68">
        <v>94.27</v>
      </c>
      <c r="I24" s="95">
        <f t="shared" si="1"/>
        <v>8886.8329</v>
      </c>
    </row>
    <row r="25">
      <c r="A25" s="68"/>
      <c r="B25" s="68"/>
      <c r="C25" s="68"/>
      <c r="D25" s="68"/>
      <c r="E25" s="68"/>
      <c r="F25" s="128" t="s">
        <v>881</v>
      </c>
      <c r="G25" s="68">
        <v>96.27</v>
      </c>
      <c r="I25" s="95">
        <f t="shared" si="1"/>
        <v>9267.9129</v>
      </c>
    </row>
    <row r="26">
      <c r="A26" s="11" t="s">
        <v>834</v>
      </c>
      <c r="B26" s="11">
        <v>320.758</v>
      </c>
      <c r="C26" s="11">
        <v>-0.261</v>
      </c>
      <c r="D26" s="11" t="s">
        <v>556</v>
      </c>
      <c r="E26" s="11" t="s">
        <v>46</v>
      </c>
      <c r="F26" s="10" t="s">
        <v>882</v>
      </c>
      <c r="G26" s="11">
        <v>66.67</v>
      </c>
      <c r="I26" s="95">
        <f t="shared" si="1"/>
        <v>4444.8889</v>
      </c>
    </row>
    <row r="27">
      <c r="A27" s="11"/>
      <c r="B27" s="11"/>
      <c r="C27" s="11"/>
      <c r="D27" s="11"/>
      <c r="E27" s="11"/>
      <c r="F27" s="11" t="s">
        <v>883</v>
      </c>
      <c r="G27" s="11">
        <v>71.51</v>
      </c>
      <c r="I27" s="95">
        <f t="shared" si="1"/>
        <v>5113.6801</v>
      </c>
    </row>
    <row r="28">
      <c r="A28" s="11"/>
      <c r="B28" s="11"/>
      <c r="C28" s="11"/>
      <c r="D28" s="11"/>
      <c r="E28" s="11"/>
      <c r="F28" s="11" t="s">
        <v>884</v>
      </c>
      <c r="G28" s="11">
        <v>116.74</v>
      </c>
      <c r="I28" s="95">
        <f t="shared" si="1"/>
        <v>13628.2276</v>
      </c>
    </row>
    <row r="29">
      <c r="A29" s="11" t="s">
        <v>688</v>
      </c>
      <c r="B29" s="11">
        <v>147.667</v>
      </c>
      <c r="C29" s="11">
        <v>13.1472</v>
      </c>
      <c r="D29" s="11" t="s">
        <v>556</v>
      </c>
      <c r="E29" s="11" t="s">
        <v>885</v>
      </c>
      <c r="F29" s="10" t="s">
        <v>886</v>
      </c>
      <c r="G29" s="11">
        <v>70.29</v>
      </c>
      <c r="I29" s="95">
        <f t="shared" si="1"/>
        <v>4940.6841</v>
      </c>
    </row>
    <row r="30">
      <c r="I30" s="95">
        <f t="shared" ref="I30:I31" si="2">G36*G36</f>
        <v>0</v>
      </c>
    </row>
    <row r="31">
      <c r="I31" s="95">
        <f t="shared" si="2"/>
        <v>0</v>
      </c>
    </row>
    <row r="32">
      <c r="I32" s="95">
        <f>G35*G35</f>
        <v>6.5025</v>
      </c>
    </row>
    <row r="33">
      <c r="D33" s="65"/>
      <c r="E33" s="65"/>
      <c r="F33" s="57"/>
    </row>
    <row r="34">
      <c r="A34" s="11" t="s">
        <v>312</v>
      </c>
      <c r="B34" s="11">
        <v>345.8021</v>
      </c>
      <c r="C34" s="11">
        <v>35.5227</v>
      </c>
      <c r="D34" s="11" t="s">
        <v>75</v>
      </c>
      <c r="E34" s="11" t="s">
        <v>42</v>
      </c>
      <c r="F34" s="11" t="s">
        <v>887</v>
      </c>
      <c r="G34" s="11">
        <v>21.45</v>
      </c>
    </row>
    <row r="35">
      <c r="A35" s="11" t="s">
        <v>760</v>
      </c>
      <c r="B35" s="11">
        <v>288.265</v>
      </c>
      <c r="C35" s="13">
        <f>+19.774</f>
        <v>19.774</v>
      </c>
      <c r="D35" s="89">
        <v>0.151</v>
      </c>
      <c r="E35" s="11" t="s">
        <v>581</v>
      </c>
      <c r="F35" s="10" t="s">
        <v>888</v>
      </c>
      <c r="G35" s="11">
        <v>2.55</v>
      </c>
    </row>
    <row r="36">
      <c r="A36" s="11" t="s">
        <v>721</v>
      </c>
      <c r="B36" s="11">
        <v>314.2027</v>
      </c>
      <c r="C36" s="11">
        <v>41.0898</v>
      </c>
      <c r="D36" s="11" t="s">
        <v>556</v>
      </c>
      <c r="E36" s="11" t="s">
        <v>581</v>
      </c>
      <c r="F36" s="13"/>
      <c r="G36" s="13"/>
    </row>
    <row r="37">
      <c r="A37" s="11" t="s">
        <v>744</v>
      </c>
      <c r="B37" s="11">
        <v>169.74062</v>
      </c>
      <c r="C37" s="11">
        <v>33.04199</v>
      </c>
      <c r="D37" s="89" t="s">
        <v>753</v>
      </c>
      <c r="E37" s="11" t="s">
        <v>581</v>
      </c>
      <c r="F37" s="13"/>
      <c r="G37" s="13"/>
    </row>
    <row r="38">
      <c r="A38" s="11" t="s">
        <v>643</v>
      </c>
      <c r="B38" s="11">
        <v>275.88811</v>
      </c>
      <c r="C38" s="11" t="s">
        <v>646</v>
      </c>
      <c r="D38" s="11" t="s">
        <v>556</v>
      </c>
      <c r="E38" s="11" t="s">
        <v>581</v>
      </c>
      <c r="F38" s="13"/>
      <c r="G38" s="13"/>
    </row>
    <row r="39">
      <c r="A39" s="11" t="s">
        <v>664</v>
      </c>
      <c r="B39" s="11">
        <v>97.61218</v>
      </c>
      <c r="C39" s="13">
        <f>+9.54754</f>
        <v>9.54754</v>
      </c>
      <c r="D39" s="11" t="s">
        <v>556</v>
      </c>
      <c r="E39" s="11" t="s">
        <v>581</v>
      </c>
      <c r="F39" s="13"/>
      <c r="G39" s="13"/>
    </row>
    <row r="40">
      <c r="A40" s="11" t="s">
        <v>569</v>
      </c>
      <c r="B40" s="82">
        <v>269.48753</v>
      </c>
      <c r="C40" s="82">
        <v>-7.03592</v>
      </c>
      <c r="D40" s="11" t="s">
        <v>556</v>
      </c>
      <c r="E40" s="11" t="s">
        <v>581</v>
      </c>
      <c r="F40" s="11"/>
      <c r="G40" s="11">
        <v>0.09</v>
      </c>
    </row>
    <row r="41">
      <c r="A41" s="11" t="s">
        <v>399</v>
      </c>
      <c r="B41" s="11">
        <v>67.9693</v>
      </c>
      <c r="C41" s="11">
        <v>42.997</v>
      </c>
      <c r="D41" s="13"/>
      <c r="E41" s="11" t="s">
        <v>42</v>
      </c>
      <c r="F41" s="11" t="s">
        <v>889</v>
      </c>
      <c r="G41" s="11"/>
    </row>
    <row r="42">
      <c r="A42" s="11"/>
      <c r="B42" s="11"/>
      <c r="C42" s="11"/>
      <c r="D42" s="11"/>
      <c r="E42" s="11"/>
      <c r="F42" s="10" t="s">
        <v>890</v>
      </c>
      <c r="G42" s="11">
        <v>104.72</v>
      </c>
    </row>
    <row r="43">
      <c r="A43" s="11" t="s">
        <v>245</v>
      </c>
      <c r="B43" s="124">
        <v>149.000901</v>
      </c>
      <c r="C43" s="11">
        <v>69.68013</v>
      </c>
      <c r="D43" s="11" t="s">
        <v>253</v>
      </c>
      <c r="E43" s="11" t="s">
        <v>46</v>
      </c>
      <c r="F43" s="11" t="s">
        <v>891</v>
      </c>
      <c r="G43" s="11">
        <v>19.65</v>
      </c>
    </row>
    <row r="44">
      <c r="A44" s="11"/>
      <c r="B44" s="11"/>
      <c r="C44" s="11"/>
      <c r="D44" s="11"/>
      <c r="E44" s="11"/>
    </row>
  </sheetData>
  <hyperlinks>
    <hyperlink r:id="rId1" ref="A3"/>
    <hyperlink r:id="rId2" ref="A4"/>
    <hyperlink r:id="rId3" ref="A5"/>
    <hyperlink r:id="rId4" ref="A6"/>
    <hyperlink r:id="rId5" ref="A7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7" max="7" width="7.63"/>
  </cols>
  <sheetData>
    <row r="1">
      <c r="A1" s="65" t="s">
        <v>849</v>
      </c>
      <c r="B1" s="68">
        <v>64.0</v>
      </c>
      <c r="C1" s="68"/>
      <c r="D1" s="121"/>
      <c r="E1" s="121"/>
      <c r="F1" s="121"/>
      <c r="G1" s="68"/>
      <c r="H1" s="68"/>
    </row>
    <row r="2">
      <c r="A2" s="1" t="s">
        <v>0</v>
      </c>
      <c r="B2" s="2" t="s">
        <v>12</v>
      </c>
      <c r="C2" s="2" t="s">
        <v>13</v>
      </c>
      <c r="D2" s="1" t="s">
        <v>850</v>
      </c>
      <c r="E2" s="1"/>
      <c r="F2" s="1" t="s">
        <v>851</v>
      </c>
      <c r="G2" s="2" t="s">
        <v>852</v>
      </c>
      <c r="H2" s="2" t="s">
        <v>790</v>
      </c>
      <c r="I2" s="65" t="s">
        <v>853</v>
      </c>
      <c r="J2" s="65" t="s">
        <v>854</v>
      </c>
      <c r="K2" s="65" t="s">
        <v>892</v>
      </c>
      <c r="L2" s="65" t="s">
        <v>855</v>
      </c>
      <c r="M2" s="65" t="s">
        <v>856</v>
      </c>
    </row>
    <row r="3">
      <c r="A3" s="11" t="s">
        <v>456</v>
      </c>
      <c r="B3" s="11">
        <v>327.911</v>
      </c>
      <c r="C3" s="11">
        <v>-56.652</v>
      </c>
      <c r="D3" s="11" t="s">
        <v>75</v>
      </c>
      <c r="E3" s="11"/>
      <c r="F3" s="11" t="s">
        <v>46</v>
      </c>
      <c r="G3" s="10" t="s">
        <v>870</v>
      </c>
      <c r="H3" s="11">
        <v>3.28</v>
      </c>
      <c r="I3" s="65" t="s">
        <v>893</v>
      </c>
      <c r="J3" s="95">
        <f t="shared" ref="J3:J17" si="1">H3*H3</f>
        <v>10.7584</v>
      </c>
      <c r="K3" s="95">
        <f t="shared" ref="K3:K17" si="2">ROW()-2</f>
        <v>1</v>
      </c>
    </row>
    <row r="4">
      <c r="A4" s="11" t="s">
        <v>621</v>
      </c>
      <c r="B4" s="11">
        <v>123.96809</v>
      </c>
      <c r="C4" s="13">
        <f>+30.34259</f>
        <v>30.34259</v>
      </c>
      <c r="D4" s="11" t="s">
        <v>556</v>
      </c>
      <c r="E4" s="11"/>
      <c r="F4" s="11" t="s">
        <v>46</v>
      </c>
      <c r="G4" s="10" t="s">
        <v>876</v>
      </c>
      <c r="H4" s="11">
        <v>8.81</v>
      </c>
      <c r="I4" s="65" t="s">
        <v>893</v>
      </c>
      <c r="J4" s="95">
        <f t="shared" si="1"/>
        <v>77.6161</v>
      </c>
      <c r="K4" s="95">
        <f t="shared" si="2"/>
        <v>2</v>
      </c>
    </row>
    <row r="5">
      <c r="A5" s="11" t="s">
        <v>245</v>
      </c>
      <c r="B5" s="124">
        <v>149.000901</v>
      </c>
      <c r="C5" s="11">
        <v>69.68013</v>
      </c>
      <c r="D5" s="11" t="s">
        <v>253</v>
      </c>
      <c r="E5" s="11"/>
      <c r="F5" s="11" t="s">
        <v>46</v>
      </c>
      <c r="G5" s="10" t="s">
        <v>866</v>
      </c>
      <c r="H5" s="11">
        <v>18.44</v>
      </c>
      <c r="I5" s="129" t="s">
        <v>894</v>
      </c>
      <c r="J5" s="95">
        <f t="shared" si="1"/>
        <v>340.0336</v>
      </c>
      <c r="K5" s="95">
        <f t="shared" si="2"/>
        <v>3</v>
      </c>
    </row>
    <row r="6">
      <c r="A6" s="11" t="s">
        <v>547</v>
      </c>
      <c r="B6" s="82">
        <v>218.22421</v>
      </c>
      <c r="C6" s="82">
        <v>61.29496</v>
      </c>
      <c r="D6" s="11" t="s">
        <v>556</v>
      </c>
      <c r="E6" s="11"/>
      <c r="F6" s="11" t="s">
        <v>46</v>
      </c>
      <c r="G6" s="130" t="s">
        <v>875</v>
      </c>
      <c r="H6" s="11">
        <v>56.34</v>
      </c>
      <c r="I6" s="65" t="s">
        <v>893</v>
      </c>
      <c r="J6" s="95">
        <f t="shared" si="1"/>
        <v>3174.1956</v>
      </c>
      <c r="K6" s="95">
        <f t="shared" si="2"/>
        <v>4</v>
      </c>
    </row>
    <row r="7">
      <c r="A7" s="34" t="s">
        <v>196</v>
      </c>
      <c r="B7" s="54">
        <v>0.047762615740740734</v>
      </c>
      <c r="C7" s="55">
        <v>-0.7218271990740741</v>
      </c>
      <c r="D7" s="127">
        <v>1.091</v>
      </c>
      <c r="E7" s="11"/>
      <c r="F7" s="11" t="s">
        <v>46</v>
      </c>
      <c r="G7" s="11" t="s">
        <v>863</v>
      </c>
      <c r="H7" s="11">
        <v>65.02</v>
      </c>
      <c r="I7" s="129" t="s">
        <v>894</v>
      </c>
      <c r="J7" s="95">
        <f t="shared" si="1"/>
        <v>4227.6004</v>
      </c>
      <c r="K7" s="95">
        <f t="shared" si="2"/>
        <v>5</v>
      </c>
    </row>
    <row r="8">
      <c r="A8" s="11" t="s">
        <v>834</v>
      </c>
      <c r="B8" s="11">
        <v>320.758</v>
      </c>
      <c r="C8" s="11">
        <v>-0.261</v>
      </c>
      <c r="D8" s="11" t="s">
        <v>556</v>
      </c>
      <c r="E8" s="11"/>
      <c r="F8" s="11" t="s">
        <v>46</v>
      </c>
      <c r="G8" s="128" t="s">
        <v>882</v>
      </c>
      <c r="H8" s="68">
        <v>66.67</v>
      </c>
      <c r="I8" s="129" t="s">
        <v>894</v>
      </c>
      <c r="J8" s="95">
        <f t="shared" si="1"/>
        <v>4444.8889</v>
      </c>
      <c r="K8" s="95">
        <f t="shared" si="2"/>
        <v>6</v>
      </c>
    </row>
    <row r="9">
      <c r="A9" s="11" t="s">
        <v>239</v>
      </c>
      <c r="B9" s="11">
        <v>345.83562</v>
      </c>
      <c r="C9" s="11">
        <v>-0.21024</v>
      </c>
      <c r="D9" s="13"/>
      <c r="E9" s="11"/>
      <c r="F9" s="11" t="s">
        <v>46</v>
      </c>
      <c r="G9" s="131" t="s">
        <v>865</v>
      </c>
      <c r="H9" s="89">
        <v>66.86</v>
      </c>
      <c r="I9" s="65" t="s">
        <v>893</v>
      </c>
      <c r="J9" s="95">
        <f t="shared" si="1"/>
        <v>4470.2596</v>
      </c>
      <c r="K9" s="95">
        <f t="shared" si="2"/>
        <v>7</v>
      </c>
    </row>
    <row r="10">
      <c r="A10" s="11" t="s">
        <v>688</v>
      </c>
      <c r="B10" s="11">
        <v>147.667</v>
      </c>
      <c r="C10" s="11">
        <v>13.1472</v>
      </c>
      <c r="D10" s="11" t="s">
        <v>556</v>
      </c>
      <c r="E10" s="11"/>
      <c r="F10" s="11" t="s">
        <v>885</v>
      </c>
      <c r="G10" s="132" t="s">
        <v>886</v>
      </c>
      <c r="H10" s="11">
        <v>70.29</v>
      </c>
      <c r="I10" s="129" t="s">
        <v>893</v>
      </c>
      <c r="J10" s="95">
        <f t="shared" si="1"/>
        <v>4940.6841</v>
      </c>
      <c r="K10" s="95">
        <f t="shared" si="2"/>
        <v>8</v>
      </c>
    </row>
    <row r="11">
      <c r="A11" s="11" t="s">
        <v>330</v>
      </c>
      <c r="B11" s="11">
        <v>124.625</v>
      </c>
      <c r="C11" s="11">
        <v>33.999</v>
      </c>
      <c r="D11" s="82">
        <v>1.234</v>
      </c>
      <c r="E11" s="11"/>
      <c r="F11" s="11" t="s">
        <v>46</v>
      </c>
      <c r="G11" s="11" t="s">
        <v>868</v>
      </c>
      <c r="H11" s="11">
        <v>77.98</v>
      </c>
      <c r="I11" s="65" t="s">
        <v>893</v>
      </c>
      <c r="J11" s="95">
        <f t="shared" si="1"/>
        <v>6080.8804</v>
      </c>
      <c r="K11" s="95">
        <f t="shared" si="2"/>
        <v>9</v>
      </c>
    </row>
    <row r="12">
      <c r="A12" s="104" t="s">
        <v>68</v>
      </c>
      <c r="B12" s="124">
        <v>173.278</v>
      </c>
      <c r="C12" s="124">
        <v>22.684</v>
      </c>
      <c r="D12" s="11" t="s">
        <v>77</v>
      </c>
      <c r="E12" s="11"/>
      <c r="F12" s="11" t="s">
        <v>46</v>
      </c>
      <c r="G12" s="11" t="s">
        <v>858</v>
      </c>
      <c r="H12" s="11">
        <v>82.74</v>
      </c>
      <c r="I12" s="65" t="s">
        <v>893</v>
      </c>
      <c r="J12" s="95">
        <f t="shared" si="1"/>
        <v>6845.9076</v>
      </c>
      <c r="K12" s="95">
        <f t="shared" si="2"/>
        <v>10</v>
      </c>
      <c r="M12" s="65" t="s">
        <v>859</v>
      </c>
    </row>
    <row r="13">
      <c r="A13" s="34" t="s">
        <v>29</v>
      </c>
      <c r="B13" s="122">
        <v>166.572</v>
      </c>
      <c r="C13" s="123">
        <v>-15.129</v>
      </c>
      <c r="D13" s="123">
        <v>4.732</v>
      </c>
      <c r="E13" s="10"/>
      <c r="F13" s="10" t="s">
        <v>46</v>
      </c>
      <c r="G13" s="11" t="s">
        <v>857</v>
      </c>
      <c r="H13" s="11">
        <v>92.26</v>
      </c>
      <c r="I13" s="65" t="s">
        <v>893</v>
      </c>
      <c r="J13" s="95">
        <f t="shared" si="1"/>
        <v>8511.9076</v>
      </c>
      <c r="K13" s="95">
        <f t="shared" si="2"/>
        <v>11</v>
      </c>
    </row>
    <row r="14">
      <c r="A14" s="11" t="s">
        <v>348</v>
      </c>
      <c r="B14" s="11">
        <v>351.3</v>
      </c>
      <c r="C14" s="11">
        <v>21.33</v>
      </c>
      <c r="D14" s="11" t="s">
        <v>75</v>
      </c>
      <c r="E14" s="11"/>
      <c r="F14" s="11" t="s">
        <v>46</v>
      </c>
      <c r="G14" s="11" t="s">
        <v>869</v>
      </c>
      <c r="H14" s="11">
        <v>95.3</v>
      </c>
      <c r="I14" s="65" t="s">
        <v>556</v>
      </c>
      <c r="J14" s="95">
        <f t="shared" si="1"/>
        <v>9082.09</v>
      </c>
      <c r="K14" s="95">
        <f t="shared" si="2"/>
        <v>12</v>
      </c>
    </row>
    <row r="15">
      <c r="A15" s="104" t="s">
        <v>134</v>
      </c>
      <c r="B15" s="125">
        <v>0.4910497685185185</v>
      </c>
      <c r="C15" s="126">
        <v>1.2433425925925927</v>
      </c>
      <c r="D15" s="37">
        <v>3.035</v>
      </c>
      <c r="E15" s="11"/>
      <c r="F15" s="11" t="s">
        <v>860</v>
      </c>
      <c r="G15" s="132" t="s">
        <v>861</v>
      </c>
      <c r="H15" s="11">
        <v>98.68</v>
      </c>
      <c r="I15" s="65" t="s">
        <v>556</v>
      </c>
      <c r="J15" s="95">
        <f t="shared" si="1"/>
        <v>9737.7424</v>
      </c>
      <c r="K15" s="95">
        <f t="shared" si="2"/>
        <v>13</v>
      </c>
    </row>
    <row r="16">
      <c r="A16" s="11" t="s">
        <v>269</v>
      </c>
      <c r="B16" s="11">
        <v>5.271</v>
      </c>
      <c r="C16" s="11">
        <v>-36.521</v>
      </c>
      <c r="D16" s="11" t="s">
        <v>42</v>
      </c>
      <c r="E16" s="11"/>
      <c r="F16" s="11" t="s">
        <v>46</v>
      </c>
      <c r="G16" s="11" t="s">
        <v>867</v>
      </c>
      <c r="H16" s="11">
        <v>100.09</v>
      </c>
      <c r="I16" s="129" t="s">
        <v>894</v>
      </c>
      <c r="J16" s="95">
        <f t="shared" si="1"/>
        <v>10018.0081</v>
      </c>
      <c r="K16" s="95">
        <f t="shared" si="2"/>
        <v>14</v>
      </c>
    </row>
    <row r="17">
      <c r="A17" s="104" t="s">
        <v>173</v>
      </c>
      <c r="B17" s="124">
        <v>38.55311</v>
      </c>
      <c r="C17" s="11">
        <v>-38.07894</v>
      </c>
      <c r="D17" s="11" t="s">
        <v>75</v>
      </c>
      <c r="E17" s="11"/>
      <c r="F17" s="11" t="s">
        <v>46</v>
      </c>
      <c r="G17" s="11" t="s">
        <v>862</v>
      </c>
      <c r="H17" s="11">
        <v>106.67</v>
      </c>
      <c r="I17" s="65" t="s">
        <v>893</v>
      </c>
      <c r="J17" s="95">
        <f t="shared" si="1"/>
        <v>11378.4889</v>
      </c>
      <c r="K17" s="95">
        <f t="shared" si="2"/>
        <v>15</v>
      </c>
    </row>
    <row r="19">
      <c r="I19" s="65" t="s">
        <v>895</v>
      </c>
    </row>
    <row r="20">
      <c r="I20" s="65" t="s">
        <v>896</v>
      </c>
    </row>
    <row r="21">
      <c r="D21" s="65"/>
      <c r="E21" s="65"/>
      <c r="F21" s="65"/>
      <c r="G21" s="57"/>
    </row>
    <row r="28">
      <c r="G28" s="65" t="s">
        <v>897</v>
      </c>
    </row>
    <row r="30">
      <c r="G30" s="65" t="s">
        <v>898</v>
      </c>
    </row>
    <row r="32">
      <c r="G32" s="65" t="s">
        <v>899</v>
      </c>
    </row>
    <row r="37">
      <c r="A37" s="1" t="s">
        <v>0</v>
      </c>
      <c r="B37" s="2" t="s">
        <v>790</v>
      </c>
      <c r="C37" s="65" t="s">
        <v>853</v>
      </c>
      <c r="D37" s="65" t="s">
        <v>854</v>
      </c>
      <c r="E37" s="65" t="s">
        <v>900</v>
      </c>
    </row>
    <row r="38">
      <c r="A38" s="11" t="s">
        <v>456</v>
      </c>
      <c r="B38" s="11">
        <v>3.28</v>
      </c>
      <c r="C38" s="65" t="s">
        <v>893</v>
      </c>
      <c r="D38" s="95">
        <f t="shared" ref="D38:D46" si="3">B38*B38</f>
        <v>10.7584</v>
      </c>
      <c r="E38" s="65">
        <v>1.0</v>
      </c>
    </row>
    <row r="39">
      <c r="A39" s="11" t="s">
        <v>621</v>
      </c>
      <c r="B39" s="11">
        <v>8.81</v>
      </c>
      <c r="C39" s="65" t="s">
        <v>893</v>
      </c>
      <c r="D39" s="95">
        <f t="shared" si="3"/>
        <v>77.6161</v>
      </c>
      <c r="E39" s="65">
        <v>2.0</v>
      </c>
    </row>
    <row r="40">
      <c r="A40" s="11" t="s">
        <v>547</v>
      </c>
      <c r="B40" s="11">
        <v>56.34</v>
      </c>
      <c r="C40" s="65" t="s">
        <v>893</v>
      </c>
      <c r="D40" s="95">
        <f t="shared" si="3"/>
        <v>3174.1956</v>
      </c>
      <c r="E40" s="65">
        <v>3.0</v>
      </c>
    </row>
    <row r="41">
      <c r="A41" s="11" t="s">
        <v>239</v>
      </c>
      <c r="B41" s="89">
        <v>66.86</v>
      </c>
      <c r="C41" s="65" t="s">
        <v>893</v>
      </c>
      <c r="D41" s="95">
        <f t="shared" si="3"/>
        <v>4470.2596</v>
      </c>
      <c r="E41" s="65">
        <v>4.0</v>
      </c>
    </row>
    <row r="42">
      <c r="A42" s="11" t="s">
        <v>688</v>
      </c>
      <c r="B42" s="11">
        <v>70.29</v>
      </c>
      <c r="C42" s="129" t="s">
        <v>893</v>
      </c>
      <c r="D42" s="95">
        <f t="shared" si="3"/>
        <v>4940.6841</v>
      </c>
      <c r="E42" s="65">
        <v>5.0</v>
      </c>
    </row>
    <row r="43">
      <c r="A43" s="11" t="s">
        <v>330</v>
      </c>
      <c r="B43" s="11">
        <v>77.98</v>
      </c>
      <c r="C43" s="65" t="s">
        <v>893</v>
      </c>
      <c r="D43" s="95">
        <f t="shared" si="3"/>
        <v>6080.8804</v>
      </c>
      <c r="E43" s="65">
        <v>6.0</v>
      </c>
    </row>
    <row r="44">
      <c r="A44" s="104" t="s">
        <v>68</v>
      </c>
      <c r="B44" s="11">
        <v>82.74</v>
      </c>
      <c r="C44" s="65" t="s">
        <v>893</v>
      </c>
      <c r="D44" s="95">
        <f t="shared" si="3"/>
        <v>6845.9076</v>
      </c>
      <c r="E44" s="65">
        <v>7.0</v>
      </c>
    </row>
    <row r="45">
      <c r="A45" s="34" t="s">
        <v>29</v>
      </c>
      <c r="B45" s="11">
        <v>92.26</v>
      </c>
      <c r="C45" s="65" t="s">
        <v>893</v>
      </c>
      <c r="D45" s="95">
        <f t="shared" si="3"/>
        <v>8511.9076</v>
      </c>
      <c r="E45" s="65">
        <v>8.0</v>
      </c>
    </row>
    <row r="46">
      <c r="A46" s="104" t="s">
        <v>173</v>
      </c>
      <c r="B46" s="11">
        <v>106.67</v>
      </c>
      <c r="C46" s="65" t="s">
        <v>893</v>
      </c>
      <c r="D46" s="95">
        <f t="shared" si="3"/>
        <v>11378.4889</v>
      </c>
      <c r="E46" s="65">
        <v>9.0</v>
      </c>
    </row>
    <row r="49">
      <c r="A49" s="11" t="s">
        <v>245</v>
      </c>
      <c r="B49" s="11">
        <v>18.44</v>
      </c>
      <c r="C49" s="129" t="s">
        <v>894</v>
      </c>
      <c r="D49" s="95">
        <f t="shared" ref="D49:D52" si="4">B49*B49</f>
        <v>340.0336</v>
      </c>
      <c r="E49" s="65">
        <v>1.0</v>
      </c>
    </row>
    <row r="50">
      <c r="A50" s="34" t="s">
        <v>196</v>
      </c>
      <c r="B50" s="11">
        <v>65.02</v>
      </c>
      <c r="C50" s="129" t="s">
        <v>894</v>
      </c>
      <c r="D50" s="95">
        <f t="shared" si="4"/>
        <v>4227.6004</v>
      </c>
      <c r="E50" s="65">
        <v>2.0</v>
      </c>
    </row>
    <row r="51">
      <c r="A51" s="11" t="s">
        <v>834</v>
      </c>
      <c r="B51" s="68">
        <v>66.67</v>
      </c>
      <c r="C51" s="129" t="s">
        <v>894</v>
      </c>
      <c r="D51" s="95">
        <f t="shared" si="4"/>
        <v>4444.8889</v>
      </c>
      <c r="E51" s="65">
        <v>3.0</v>
      </c>
    </row>
    <row r="52">
      <c r="A52" s="11" t="s">
        <v>269</v>
      </c>
      <c r="B52" s="11">
        <v>100.09</v>
      </c>
      <c r="C52" s="129" t="s">
        <v>894</v>
      </c>
      <c r="D52" s="95">
        <f t="shared" si="4"/>
        <v>10018.0081</v>
      </c>
      <c r="E52" s="65">
        <v>4.0</v>
      </c>
    </row>
    <row r="58">
      <c r="A58" s="1" t="s">
        <v>0</v>
      </c>
      <c r="B58" s="2" t="s">
        <v>852</v>
      </c>
      <c r="C58" s="2" t="s">
        <v>790</v>
      </c>
      <c r="D58" s="65" t="s">
        <v>853</v>
      </c>
      <c r="E58" s="65" t="s">
        <v>901</v>
      </c>
      <c r="F58" s="65" t="s">
        <v>854</v>
      </c>
      <c r="G58" s="65" t="s">
        <v>892</v>
      </c>
    </row>
    <row r="59" ht="28.5" customHeight="1">
      <c r="A59" s="11" t="s">
        <v>456</v>
      </c>
      <c r="B59" s="10" t="s">
        <v>870</v>
      </c>
      <c r="C59" s="11">
        <v>3.28</v>
      </c>
      <c r="D59" s="65" t="s">
        <v>893</v>
      </c>
      <c r="E59" s="65" t="s">
        <v>801</v>
      </c>
      <c r="F59" s="95">
        <f t="shared" ref="F59:F69" si="5">C59*C59</f>
        <v>10.7584</v>
      </c>
      <c r="G59" s="65">
        <v>1.0</v>
      </c>
    </row>
    <row r="60" ht="24.75" customHeight="1">
      <c r="A60" s="11" t="s">
        <v>621</v>
      </c>
      <c r="B60" s="10" t="s">
        <v>876</v>
      </c>
      <c r="C60" s="11">
        <v>8.81</v>
      </c>
      <c r="D60" s="65" t="s">
        <v>893</v>
      </c>
      <c r="E60" s="65" t="s">
        <v>801</v>
      </c>
      <c r="F60" s="95">
        <f t="shared" si="5"/>
        <v>77.6161</v>
      </c>
      <c r="G60" s="65">
        <v>2.0</v>
      </c>
    </row>
    <row r="61" ht="24.0" customHeight="1">
      <c r="A61" s="11" t="s">
        <v>245</v>
      </c>
      <c r="B61" s="10" t="s">
        <v>866</v>
      </c>
      <c r="C61" s="11">
        <v>18.44</v>
      </c>
      <c r="D61" s="129" t="s">
        <v>894</v>
      </c>
      <c r="E61" s="65" t="s">
        <v>801</v>
      </c>
      <c r="F61" s="95">
        <f t="shared" si="5"/>
        <v>340.0336</v>
      </c>
      <c r="G61" s="65">
        <v>3.0</v>
      </c>
    </row>
    <row r="62" ht="24.0" customHeight="1">
      <c r="A62" s="34" t="s">
        <v>196</v>
      </c>
      <c r="B62" s="11" t="s">
        <v>863</v>
      </c>
      <c r="C62" s="11">
        <v>65.02</v>
      </c>
      <c r="D62" s="129" t="s">
        <v>894</v>
      </c>
      <c r="E62" s="65" t="s">
        <v>801</v>
      </c>
      <c r="F62" s="95">
        <f t="shared" si="5"/>
        <v>4227.6004</v>
      </c>
      <c r="G62" s="65">
        <v>4.0</v>
      </c>
    </row>
    <row r="63" ht="24.75" customHeight="1">
      <c r="A63" s="11" t="s">
        <v>834</v>
      </c>
      <c r="B63" s="128" t="s">
        <v>882</v>
      </c>
      <c r="C63" s="68">
        <v>66.67</v>
      </c>
      <c r="D63" s="129" t="s">
        <v>894</v>
      </c>
      <c r="E63" s="65" t="s">
        <v>801</v>
      </c>
      <c r="F63" s="95">
        <f t="shared" si="5"/>
        <v>4444.8889</v>
      </c>
      <c r="G63" s="65">
        <v>5.0</v>
      </c>
    </row>
    <row r="64" ht="21.75" customHeight="1">
      <c r="A64" s="11" t="s">
        <v>330</v>
      </c>
      <c r="B64" s="11" t="s">
        <v>868</v>
      </c>
      <c r="C64" s="11">
        <v>77.98</v>
      </c>
      <c r="D64" s="65" t="s">
        <v>893</v>
      </c>
      <c r="E64" s="65" t="s">
        <v>801</v>
      </c>
      <c r="F64" s="95">
        <f t="shared" si="5"/>
        <v>6080.8804</v>
      </c>
      <c r="G64" s="65">
        <v>6.0</v>
      </c>
    </row>
    <row r="65" ht="24.0" customHeight="1">
      <c r="A65" s="104" t="s">
        <v>68</v>
      </c>
      <c r="B65" s="11" t="s">
        <v>858</v>
      </c>
      <c r="C65" s="11">
        <v>82.74</v>
      </c>
      <c r="D65" s="65" t="s">
        <v>893</v>
      </c>
      <c r="E65" s="65" t="s">
        <v>801</v>
      </c>
      <c r="F65" s="95">
        <f t="shared" si="5"/>
        <v>6845.9076</v>
      </c>
      <c r="G65" s="65">
        <v>7.0</v>
      </c>
    </row>
    <row r="66" ht="21.75" customHeight="1">
      <c r="A66" s="34" t="s">
        <v>29</v>
      </c>
      <c r="B66" s="11" t="s">
        <v>857</v>
      </c>
      <c r="C66" s="11">
        <v>92.26</v>
      </c>
      <c r="D66" s="65" t="s">
        <v>893</v>
      </c>
      <c r="E66" s="65" t="s">
        <v>801</v>
      </c>
      <c r="F66" s="95">
        <f t="shared" si="5"/>
        <v>8511.9076</v>
      </c>
      <c r="G66" s="65">
        <v>8.0</v>
      </c>
    </row>
    <row r="67" ht="21.0" customHeight="1">
      <c r="A67" s="11" t="s">
        <v>348</v>
      </c>
      <c r="B67" s="11" t="s">
        <v>869</v>
      </c>
      <c r="C67" s="11">
        <v>95.3</v>
      </c>
      <c r="D67" s="65" t="s">
        <v>556</v>
      </c>
      <c r="E67" s="65" t="s">
        <v>801</v>
      </c>
      <c r="F67" s="95">
        <f t="shared" si="5"/>
        <v>9082.09</v>
      </c>
      <c r="G67" s="65">
        <v>9.0</v>
      </c>
    </row>
    <row r="68" ht="20.25" customHeight="1">
      <c r="A68" s="11" t="s">
        <v>269</v>
      </c>
      <c r="B68" s="11" t="s">
        <v>867</v>
      </c>
      <c r="C68" s="11">
        <v>100.09</v>
      </c>
      <c r="D68" s="129" t="s">
        <v>894</v>
      </c>
      <c r="E68" s="65" t="s">
        <v>801</v>
      </c>
      <c r="F68" s="95">
        <f t="shared" si="5"/>
        <v>10018.0081</v>
      </c>
      <c r="G68" s="65">
        <v>10.0</v>
      </c>
    </row>
    <row r="69" ht="23.25" customHeight="1">
      <c r="A69" s="104" t="s">
        <v>173</v>
      </c>
      <c r="B69" s="11" t="s">
        <v>862</v>
      </c>
      <c r="C69" s="11">
        <v>106.67</v>
      </c>
      <c r="D69" s="65" t="s">
        <v>893</v>
      </c>
      <c r="E69" s="65" t="s">
        <v>801</v>
      </c>
      <c r="F69" s="95">
        <f t="shared" si="5"/>
        <v>11378.4889</v>
      </c>
      <c r="G69" s="65">
        <v>11.0</v>
      </c>
    </row>
    <row r="71" ht="21.75" customHeight="1">
      <c r="A71" s="11" t="s">
        <v>547</v>
      </c>
      <c r="B71" s="11" t="s">
        <v>875</v>
      </c>
      <c r="C71" s="11">
        <v>56.34</v>
      </c>
      <c r="D71" s="65" t="s">
        <v>893</v>
      </c>
      <c r="E71" s="65" t="s">
        <v>805</v>
      </c>
      <c r="F71" s="95">
        <f t="shared" ref="F71:F74" si="6">C71*C71</f>
        <v>3174.1956</v>
      </c>
      <c r="G71" s="65">
        <v>1.0</v>
      </c>
    </row>
    <row r="72" ht="21.0" customHeight="1">
      <c r="A72" s="104" t="s">
        <v>134</v>
      </c>
      <c r="B72" s="10" t="s">
        <v>861</v>
      </c>
      <c r="C72" s="11">
        <v>98.68</v>
      </c>
      <c r="D72" s="65" t="s">
        <v>556</v>
      </c>
      <c r="E72" s="65" t="s">
        <v>805</v>
      </c>
      <c r="F72" s="95">
        <f t="shared" si="6"/>
        <v>9737.7424</v>
      </c>
      <c r="G72" s="65">
        <v>2.0</v>
      </c>
    </row>
    <row r="73">
      <c r="A73" s="11" t="s">
        <v>239</v>
      </c>
      <c r="B73" s="89" t="s">
        <v>865</v>
      </c>
      <c r="C73" s="89">
        <v>66.86</v>
      </c>
      <c r="D73" s="65" t="s">
        <v>893</v>
      </c>
      <c r="E73" s="65" t="s">
        <v>805</v>
      </c>
      <c r="F73" s="95">
        <f t="shared" si="6"/>
        <v>4470.2596</v>
      </c>
      <c r="G73" s="65">
        <v>3.0</v>
      </c>
    </row>
    <row r="74" ht="19.5" customHeight="1">
      <c r="A74" s="11" t="s">
        <v>688</v>
      </c>
      <c r="B74" s="10" t="s">
        <v>886</v>
      </c>
      <c r="C74" s="11">
        <v>70.29</v>
      </c>
      <c r="D74" s="129" t="s">
        <v>893</v>
      </c>
      <c r="E74" s="65" t="s">
        <v>805</v>
      </c>
      <c r="F74" s="95">
        <f t="shared" si="6"/>
        <v>4940.6841</v>
      </c>
      <c r="G74" s="65">
        <v>4.0</v>
      </c>
    </row>
  </sheetData>
  <hyperlinks>
    <hyperlink r:id="rId1" ref="A7"/>
    <hyperlink r:id="rId2" ref="A12"/>
    <hyperlink r:id="rId3" ref="A13"/>
    <hyperlink r:id="rId4" ref="A15"/>
    <hyperlink r:id="rId5" ref="A17"/>
    <hyperlink r:id="rId6" ref="A44"/>
    <hyperlink r:id="rId7" ref="A45"/>
    <hyperlink r:id="rId8" ref="A46"/>
    <hyperlink r:id="rId9" ref="A50"/>
    <hyperlink r:id="rId10" ref="A62"/>
    <hyperlink r:id="rId11" ref="A65"/>
    <hyperlink r:id="rId12" ref="A66"/>
    <hyperlink r:id="rId13" ref="A69"/>
    <hyperlink r:id="rId14" ref="A72"/>
  </hyperlinks>
  <drawing r:id="rId15"/>
</worksheet>
</file>